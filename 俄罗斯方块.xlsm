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myprojects\20200130\"/>
    </mc:Choice>
  </mc:AlternateContent>
  <xr:revisionPtr revIDLastSave="0" documentId="13_ncr:1_{8963EA4C-CF46-405A-9074-6628D882384A}" xr6:coauthVersionLast="45" xr6:coauthVersionMax="45" xr10:uidLastSave="{00000000-0000-0000-0000-000000000000}"/>
  <bookViews>
    <workbookView xWindow="5340" yWindow="1665" windowWidth="16485" windowHeight="17550" xr2:uid="{EE47B03E-17DD-43DD-8978-4F8671F839E2}"/>
  </bookViews>
  <sheets>
    <sheet name="alpha" sheetId="1" r:id="rId1"/>
  </sheets>
  <definedNames>
    <definedName name="screen">alpha!$W$21</definedName>
    <definedName name="staticscreen">alpha!$E$21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19" i="1" l="1"/>
  <c r="X19" i="1"/>
  <c r="AH25" i="1" l="1"/>
  <c r="U44" i="1" l="1"/>
  <c r="T44" i="1"/>
  <c r="S44" i="1"/>
  <c r="R44" i="1"/>
  <c r="U43" i="1"/>
  <c r="T43" i="1"/>
  <c r="S43" i="1"/>
  <c r="R43" i="1"/>
  <c r="U42" i="1"/>
  <c r="T42" i="1"/>
  <c r="R42" i="1"/>
  <c r="U41" i="1"/>
  <c r="T41" i="1"/>
  <c r="S41" i="1"/>
  <c r="R41" i="1"/>
  <c r="S42" i="1"/>
  <c r="AK24" i="1"/>
  <c r="AJ24" i="1"/>
  <c r="AI24" i="1"/>
  <c r="AH24" i="1"/>
  <c r="AK23" i="1"/>
  <c r="AJ23" i="1"/>
  <c r="AI23" i="1"/>
  <c r="AH23" i="1"/>
  <c r="AK22" i="1"/>
  <c r="AJ22" i="1"/>
  <c r="AI22" i="1"/>
  <c r="AH22" i="1"/>
  <c r="AK21" i="1"/>
  <c r="AJ21" i="1"/>
  <c r="AI21" i="1"/>
  <c r="AH21" i="1"/>
  <c r="C39" i="1" l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40" i="1"/>
  <c r="B1" i="1" l="1"/>
  <c r="A1" i="1" l="1"/>
  <c r="AZ24" i="1"/>
  <c r="AY24" i="1"/>
  <c r="AX24" i="1"/>
  <c r="AW24" i="1"/>
  <c r="AZ23" i="1"/>
  <c r="AY23" i="1"/>
  <c r="AX23" i="1"/>
  <c r="AW23" i="1"/>
  <c r="AZ22" i="1"/>
  <c r="AY22" i="1"/>
  <c r="AX22" i="1"/>
  <c r="AW22" i="1"/>
  <c r="AZ21" i="1"/>
  <c r="AY21" i="1"/>
  <c r="AX21" i="1"/>
  <c r="AW21" i="1"/>
  <c r="A14" i="1" l="1"/>
  <c r="U32" i="1"/>
  <c r="U37" i="1"/>
  <c r="S33" i="1"/>
  <c r="S38" i="1"/>
  <c r="T32" i="1"/>
  <c r="T37" i="1"/>
  <c r="R33" i="1"/>
  <c r="R38" i="1"/>
  <c r="T33" i="1"/>
  <c r="T38" i="1"/>
  <c r="U33" i="1"/>
  <c r="U38" i="1"/>
  <c r="R31" i="1"/>
  <c r="R36" i="1"/>
  <c r="R34" i="1"/>
  <c r="R39" i="1"/>
  <c r="S31" i="1"/>
  <c r="S36" i="1"/>
  <c r="S34" i="1"/>
  <c r="S39" i="1"/>
  <c r="T31" i="1"/>
  <c r="T36" i="1"/>
  <c r="T34" i="1"/>
  <c r="T39" i="1"/>
  <c r="U31" i="1"/>
  <c r="U36" i="1"/>
  <c r="U34" i="1"/>
  <c r="U39" i="1"/>
  <c r="R32" i="1"/>
  <c r="R37" i="1"/>
  <c r="S32" i="1"/>
  <c r="S37" i="1"/>
  <c r="R27" i="1"/>
  <c r="U29" i="1"/>
  <c r="S26" i="1"/>
  <c r="U26" i="1"/>
  <c r="T27" i="1"/>
  <c r="S28" i="1"/>
  <c r="T28" i="1"/>
  <c r="S29" i="1"/>
  <c r="U27" i="1"/>
  <c r="R28" i="1"/>
  <c r="U28" i="1"/>
  <c r="R26" i="1"/>
  <c r="R29" i="1"/>
  <c r="T26" i="1"/>
  <c r="T29" i="1"/>
  <c r="S27" i="1"/>
  <c r="AF22" i="1"/>
  <c r="AF21" i="1"/>
  <c r="AF30" i="1"/>
  <c r="AF29" i="1"/>
  <c r="AF28" i="1"/>
  <c r="AF27" i="1"/>
  <c r="AE21" i="1"/>
  <c r="AE22" i="1"/>
  <c r="AE40" i="1"/>
  <c r="AF40" i="1"/>
  <c r="AE39" i="1"/>
  <c r="AF39" i="1"/>
  <c r="AE38" i="1"/>
  <c r="AF38" i="1"/>
  <c r="AE37" i="1"/>
  <c r="AF37" i="1"/>
  <c r="AE36" i="1"/>
  <c r="AF36" i="1"/>
  <c r="AF35" i="1"/>
  <c r="AE35" i="1"/>
  <c r="AF32" i="1"/>
  <c r="AF33" i="1"/>
  <c r="AF31" i="1"/>
  <c r="AF34" i="1"/>
  <c r="AE34" i="1"/>
  <c r="AE33" i="1"/>
  <c r="AE32" i="1"/>
  <c r="AE31" i="1"/>
  <c r="AE28" i="1"/>
  <c r="AE29" i="1"/>
  <c r="AE27" i="1"/>
  <c r="AE30" i="1"/>
  <c r="Y21" i="1"/>
  <c r="W22" i="1"/>
  <c r="X21" i="1"/>
  <c r="X22" i="1"/>
  <c r="Y22" i="1"/>
  <c r="W21" i="1"/>
  <c r="W40" i="1"/>
  <c r="X40" i="1"/>
  <c r="Y40" i="1"/>
  <c r="X39" i="1"/>
  <c r="Y39" i="1"/>
  <c r="Z39" i="1"/>
  <c r="W38" i="1"/>
  <c r="Y38" i="1"/>
  <c r="Z38" i="1"/>
  <c r="X37" i="1"/>
  <c r="W37" i="1"/>
  <c r="Y37" i="1"/>
  <c r="W36" i="1"/>
  <c r="X36" i="1"/>
  <c r="Y36" i="1"/>
  <c r="W35" i="1"/>
  <c r="X35" i="1"/>
  <c r="Y35" i="1"/>
  <c r="X34" i="1"/>
  <c r="Y34" i="1"/>
  <c r="X33" i="1"/>
  <c r="W33" i="1"/>
  <c r="Y33" i="1"/>
  <c r="X32" i="1"/>
  <c r="W32" i="1"/>
  <c r="Y32" i="1"/>
  <c r="Y29" i="1"/>
  <c r="Z22" i="1"/>
  <c r="Z21" i="1"/>
  <c r="Z36" i="1"/>
  <c r="Z35" i="1"/>
  <c r="Z32" i="1"/>
  <c r="Z31" i="1"/>
  <c r="AA40" i="1"/>
  <c r="AB40" i="1"/>
  <c r="AC40" i="1"/>
  <c r="AD40" i="1"/>
  <c r="AB39" i="1"/>
  <c r="AA39" i="1"/>
  <c r="AC39" i="1"/>
  <c r="AD39" i="1"/>
  <c r="AA38" i="1"/>
  <c r="AB38" i="1"/>
  <c r="AC38" i="1"/>
  <c r="AD38" i="1"/>
  <c r="Z40" i="1" s="1"/>
  <c r="AA37" i="1"/>
  <c r="W39" i="1" s="1"/>
  <c r="AB37" i="1"/>
  <c r="AC37" i="1"/>
  <c r="AD37" i="1"/>
  <c r="AD36" i="1"/>
  <c r="AA36" i="1"/>
  <c r="AB36" i="1"/>
  <c r="X38" i="1" s="1"/>
  <c r="AC36" i="1"/>
  <c r="AA35" i="1"/>
  <c r="AB35" i="1"/>
  <c r="AC35" i="1"/>
  <c r="AD35" i="1"/>
  <c r="Z37" i="1" s="1"/>
  <c r="AA34" i="1"/>
  <c r="AC34" i="1"/>
  <c r="AB34" i="1"/>
  <c r="AD34" i="1"/>
  <c r="AB33" i="1"/>
  <c r="AC33" i="1"/>
  <c r="AA33" i="1"/>
  <c r="AD33" i="1"/>
  <c r="AA32" i="1"/>
  <c r="W34" i="1" s="1"/>
  <c r="AB32" i="1"/>
  <c r="AC32" i="1"/>
  <c r="AD32" i="1"/>
  <c r="Z34" i="1" s="1"/>
  <c r="AB31" i="1"/>
  <c r="AC31" i="1"/>
  <c r="AD31" i="1"/>
  <c r="Z33" i="1" s="1"/>
  <c r="AA31" i="1"/>
  <c r="AA30" i="1"/>
  <c r="AB30" i="1"/>
  <c r="AC30" i="1"/>
  <c r="AD30" i="1"/>
  <c r="AD29" i="1"/>
  <c r="W31" i="1" s="1"/>
  <c r="AA29" i="1"/>
  <c r="AB29" i="1"/>
  <c r="X31" i="1" s="1"/>
  <c r="AC29" i="1"/>
  <c r="Y31" i="1" s="1"/>
  <c r="AC28" i="1"/>
  <c r="Y30" i="1" s="1"/>
  <c r="AD28" i="1"/>
  <c r="Z30" i="1" s="1"/>
  <c r="AC27" i="1"/>
  <c r="AD27" i="1"/>
  <c r="Z29" i="1" s="1"/>
  <c r="AB22" i="1"/>
  <c r="AC22" i="1"/>
  <c r="AD22" i="1"/>
  <c r="AB21" i="1"/>
  <c r="AC21" i="1"/>
  <c r="AA21" i="1"/>
  <c r="AD21" i="1"/>
  <c r="AA22" i="1"/>
  <c r="Y23" i="1"/>
  <c r="AD25" i="1"/>
  <c r="Y24" i="1"/>
  <c r="AD23" i="1"/>
  <c r="Y25" i="1"/>
  <c r="Z25" i="1"/>
  <c r="AE25" i="1"/>
  <c r="AD24" i="1"/>
  <c r="AC25" i="1"/>
  <c r="AF25" i="1"/>
  <c r="Z27" i="1"/>
  <c r="Z24" i="1"/>
  <c r="AE24" i="1"/>
  <c r="AC24" i="1"/>
  <c r="AF24" i="1"/>
  <c r="Z23" i="1"/>
  <c r="AE23" i="1"/>
  <c r="Z26" i="1"/>
  <c r="AE26" i="1"/>
  <c r="AC23" i="1"/>
  <c r="AF23" i="1"/>
  <c r="AB25" i="1" s="1"/>
  <c r="AC26" i="1"/>
  <c r="AF26" i="1"/>
  <c r="AB28" i="1" s="1"/>
  <c r="X30" i="1" s="1"/>
  <c r="AD26" i="1"/>
  <c r="AA25" i="1"/>
  <c r="X24" i="1"/>
  <c r="AB24" i="1"/>
  <c r="W24" i="1"/>
  <c r="AA24" i="1"/>
  <c r="W23" i="1"/>
  <c r="AA23" i="1"/>
  <c r="AA26" i="1"/>
  <c r="X23" i="1"/>
  <c r="AB23" i="1"/>
  <c r="AB26" i="1"/>
  <c r="A11" i="1" l="1"/>
  <c r="A10" i="1"/>
  <c r="A6" i="1"/>
  <c r="X26" i="1"/>
  <c r="Y26" i="1"/>
  <c r="W27" i="1"/>
  <c r="X25" i="1"/>
  <c r="Y28" i="1"/>
  <c r="W25" i="1"/>
  <c r="W26" i="1"/>
  <c r="W28" i="1"/>
  <c r="Z28" i="1"/>
  <c r="Y27" i="1"/>
  <c r="AB27" i="1"/>
  <c r="X29" i="1" s="1"/>
  <c r="X28" i="1"/>
  <c r="AA28" i="1"/>
  <c r="W30" i="1" s="1"/>
  <c r="X27" i="1"/>
  <c r="AA27" i="1"/>
  <c r="W29" i="1" s="1"/>
  <c r="U22" i="1" l="1"/>
  <c r="U23" i="1"/>
  <c r="U24" i="1"/>
  <c r="U21" i="1"/>
  <c r="T24" i="1"/>
  <c r="T21" i="1"/>
  <c r="T23" i="1"/>
  <c r="T22" i="1"/>
  <c r="R21" i="1"/>
  <c r="S24" i="1"/>
  <c r="R22" i="1"/>
  <c r="S21" i="1"/>
  <c r="S22" i="1"/>
  <c r="R23" i="1"/>
  <c r="S23" i="1"/>
  <c r="R24" i="1"/>
  <c r="A7" i="1" l="1"/>
  <c r="B8" i="1" l="1"/>
  <c r="Y43" i="1"/>
</calcChain>
</file>

<file path=xl/sharedStrings.xml><?xml version="1.0" encoding="utf-8"?>
<sst xmlns="http://schemas.openxmlformats.org/spreadsheetml/2006/main" count="25" uniqueCount="25">
  <si>
    <t>状态</t>
    <phoneticPr fontId="1" type="noConversion"/>
  </si>
  <si>
    <t>当前形状</t>
    <phoneticPr fontId="1" type="noConversion"/>
  </si>
  <si>
    <t>当前旋转</t>
    <phoneticPr fontId="1" type="noConversion"/>
  </si>
  <si>
    <t>横向偏移</t>
    <phoneticPr fontId="1" type="noConversion"/>
  </si>
  <si>
    <t>掉落行数</t>
    <phoneticPr fontId="1" type="noConversion"/>
  </si>
  <si>
    <t>向左是否碰撞</t>
    <phoneticPr fontId="1" type="noConversion"/>
  </si>
  <si>
    <t>向下是否碰撞</t>
    <phoneticPr fontId="1" type="noConversion"/>
  </si>
  <si>
    <t>当前是否碰撞</t>
    <phoneticPr fontId="1" type="noConversion"/>
  </si>
  <si>
    <t>向右是否碰撞</t>
    <phoneticPr fontId="1" type="noConversion"/>
  </si>
  <si>
    <t>暂停</t>
    <phoneticPr fontId="1" type="noConversion"/>
  </si>
  <si>
    <t>下一个旋转是否碰撞</t>
    <phoneticPr fontId="1" type="noConversion"/>
  </si>
  <si>
    <t>下一个的形状</t>
    <phoneticPr fontId="1" type="noConversion"/>
  </si>
  <si>
    <t>下一个的旋转</t>
    <phoneticPr fontId="1" type="noConversion"/>
  </si>
  <si>
    <t>下一个</t>
    <phoneticPr fontId="1" type="noConversion"/>
  </si>
  <si>
    <t>消除行</t>
    <phoneticPr fontId="1" type="noConversion"/>
  </si>
  <si>
    <t>消除行</t>
    <phoneticPr fontId="1" type="noConversion"/>
  </si>
  <si>
    <t>↑</t>
    <phoneticPr fontId="1" type="noConversion"/>
  </si>
  <si>
    <t>→</t>
    <phoneticPr fontId="1" type="noConversion"/>
  </si>
  <si>
    <t>←</t>
    <phoneticPr fontId="1" type="noConversion"/>
  </si>
  <si>
    <t>↓</t>
    <phoneticPr fontId="1" type="noConversion"/>
  </si>
  <si>
    <t>旋转</t>
    <phoneticPr fontId="1" type="noConversion"/>
  </si>
  <si>
    <t>速降</t>
    <phoneticPr fontId="1" type="noConversion"/>
  </si>
  <si>
    <t>左移</t>
    <phoneticPr fontId="1" type="noConversion"/>
  </si>
  <si>
    <t>右移</t>
    <phoneticPr fontId="1" type="noConversion"/>
  </si>
  <si>
    <t>CopyRight@2020 BY CLOUD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</si>
</sst>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;;;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0" tint="-0.249977111117893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6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0" xfId="0" applyNumberFormat="1" applyBorder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4" fillId="0" borderId="0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1" applyAlignment="1">
      <alignment horizontal="center" vertical="center"/>
    </xf>
  </cellXfs>
  <cellStyles count="2">
    <cellStyle name="常规" xfId="0" builtinId="0"/>
    <cellStyle name="超链接" xfId="1" builtinId="8"/>
  </cellStyles>
  <dxfs count="4">
    <dxf>
      <fill>
        <patternFill>
          <bgColor theme="5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EB90E-0551-4764-B470-AB4F6FFCEB26}">
  <sheetPr codeName="Sheet1"/>
  <dimension ref="A1:CA48"/>
  <sheetViews>
    <sheetView showGridLines="0" tabSelected="1" topLeftCell="V1" workbookViewId="0">
      <selection activeCell="AD7" sqref="AD7"/>
    </sheetView>
  </sheetViews>
  <sheetFormatPr defaultRowHeight="14.25" x14ac:dyDescent="0.2"/>
  <cols>
    <col min="1" max="2" width="9" hidden="1" customWidth="1"/>
    <col min="3" max="3" width="3" hidden="1" customWidth="1"/>
    <col min="4" max="15" width="2.5" hidden="1" customWidth="1"/>
    <col min="16" max="17" width="9" hidden="1" customWidth="1"/>
    <col min="18" max="21" width="2.5" style="20" hidden="1" customWidth="1"/>
    <col min="23" max="32" width="2.5" customWidth="1"/>
    <col min="34" max="38" width="2.5" customWidth="1"/>
    <col min="39" max="61" width="2.5" hidden="1" customWidth="1"/>
    <col min="62" max="63" width="0" hidden="1" customWidth="1"/>
    <col min="64" max="79" width="2.5" hidden="1" customWidth="1"/>
    <col min="80" max="80" width="0" hidden="1" customWidth="1"/>
  </cols>
  <sheetData>
    <row r="1" spans="1:61" x14ac:dyDescent="0.2">
      <c r="A1">
        <f ca="1">RANDBETWEEN(1, 7)</f>
        <v>6</v>
      </c>
      <c r="B1">
        <f ca="1">RANDBETWEEN(0, 3)</f>
        <v>3</v>
      </c>
      <c r="W1" s="11"/>
      <c r="AN1" s="22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4"/>
    </row>
    <row r="2" spans="1:61" x14ac:dyDescent="0.2">
      <c r="A2">
        <v>1</v>
      </c>
      <c r="B2" t="s">
        <v>1</v>
      </c>
      <c r="W2" s="11"/>
      <c r="AN2" s="25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6"/>
    </row>
    <row r="3" spans="1:61" x14ac:dyDescent="0.2">
      <c r="A3">
        <v>0</v>
      </c>
      <c r="B3" t="s">
        <v>2</v>
      </c>
      <c r="W3" s="11"/>
      <c r="AN3" s="25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6"/>
    </row>
    <row r="4" spans="1:61" x14ac:dyDescent="0.2">
      <c r="A4" t="s">
        <v>9</v>
      </c>
      <c r="B4" t="s">
        <v>0</v>
      </c>
      <c r="W4" s="11"/>
      <c r="AN4" s="25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6"/>
    </row>
    <row r="5" spans="1:61" x14ac:dyDescent="0.2">
      <c r="A5">
        <v>0</v>
      </c>
      <c r="B5" t="s">
        <v>4</v>
      </c>
      <c r="W5" s="11"/>
      <c r="AN5" s="25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6"/>
    </row>
    <row r="6" spans="1:61" x14ac:dyDescent="0.2">
      <c r="A6">
        <f ca="1">COUNTIF(R26:U29,2)</f>
        <v>0</v>
      </c>
      <c r="B6" t="s">
        <v>6</v>
      </c>
      <c r="W6" s="11"/>
      <c r="AN6" s="25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6"/>
    </row>
    <row r="7" spans="1:61" x14ac:dyDescent="0.2">
      <c r="A7">
        <f ca="1">COUNTIF(R21:U24,2)</f>
        <v>0</v>
      </c>
      <c r="B7" t="s">
        <v>7</v>
      </c>
      <c r="W7" s="11"/>
      <c r="X7" s="22"/>
      <c r="Y7" s="23"/>
      <c r="Z7" s="23"/>
      <c r="AA7" s="23"/>
      <c r="AB7" s="23"/>
      <c r="AC7" s="23"/>
      <c r="AD7" s="24"/>
      <c r="AN7" s="25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6"/>
    </row>
    <row r="8" spans="1:61" x14ac:dyDescent="0.2">
      <c r="B8" t="str">
        <f ca="1">IF(A7&gt;0,"GAME OVER", "")</f>
        <v/>
      </c>
      <c r="W8" s="11"/>
      <c r="X8" s="25"/>
      <c r="Y8" s="21"/>
      <c r="Z8" s="21"/>
      <c r="AA8" s="5" t="s">
        <v>20</v>
      </c>
      <c r="AB8" s="21"/>
      <c r="AC8" s="21"/>
      <c r="AD8" s="26"/>
      <c r="AN8" s="25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6"/>
    </row>
    <row r="9" spans="1:61" x14ac:dyDescent="0.2">
      <c r="A9">
        <v>6</v>
      </c>
      <c r="B9" t="s">
        <v>3</v>
      </c>
      <c r="W9" s="11"/>
      <c r="X9" s="25"/>
      <c r="Y9" s="21"/>
      <c r="Z9" s="42"/>
      <c r="AA9" s="43" t="s">
        <v>16</v>
      </c>
      <c r="AB9" s="42"/>
      <c r="AC9" s="21"/>
      <c r="AD9" s="26"/>
      <c r="AN9" s="25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6"/>
    </row>
    <row r="10" spans="1:61" x14ac:dyDescent="0.2">
      <c r="A10">
        <f ca="1">COUNTIF(R31:U34,2)</f>
        <v>0</v>
      </c>
      <c r="B10" t="s">
        <v>5</v>
      </c>
      <c r="W10" s="11"/>
      <c r="X10" s="25"/>
      <c r="Y10" s="44" t="s">
        <v>22</v>
      </c>
      <c r="Z10" s="43" t="s">
        <v>18</v>
      </c>
      <c r="AA10" s="43" t="s">
        <v>19</v>
      </c>
      <c r="AB10" s="43" t="s">
        <v>17</v>
      </c>
      <c r="AC10" s="45" t="s">
        <v>23</v>
      </c>
      <c r="AD10" s="26"/>
      <c r="AN10" s="25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6"/>
    </row>
    <row r="11" spans="1:61" x14ac:dyDescent="0.2">
      <c r="A11">
        <f ca="1">COUNTIF(R36:U39,2)</f>
        <v>0</v>
      </c>
      <c r="B11" t="s">
        <v>8</v>
      </c>
      <c r="W11" s="11"/>
      <c r="X11" s="25"/>
      <c r="Y11" s="21"/>
      <c r="Z11" s="21"/>
      <c r="AA11" s="10" t="s">
        <v>21</v>
      </c>
      <c r="AB11" s="21"/>
      <c r="AC11" s="21"/>
      <c r="AD11" s="26"/>
      <c r="AN11" s="25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6"/>
    </row>
    <row r="12" spans="1:61" x14ac:dyDescent="0.2">
      <c r="A12">
        <v>5</v>
      </c>
      <c r="B12" t="s">
        <v>11</v>
      </c>
      <c r="W12" s="11"/>
      <c r="X12" s="27"/>
      <c r="Y12" s="28"/>
      <c r="Z12" s="28"/>
      <c r="AA12" s="28"/>
      <c r="AB12" s="28"/>
      <c r="AC12" s="28"/>
      <c r="AD12" s="29"/>
      <c r="AN12" s="25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6"/>
    </row>
    <row r="13" spans="1:61" x14ac:dyDescent="0.2">
      <c r="A13">
        <v>1</v>
      </c>
      <c r="B13" t="s">
        <v>12</v>
      </c>
      <c r="W13" s="11"/>
      <c r="AN13" s="25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6"/>
    </row>
    <row r="14" spans="1:61" x14ac:dyDescent="0.2">
      <c r="A14">
        <f ca="1">COUNTIF(R41:U44,2)</f>
        <v>0</v>
      </c>
      <c r="B14" t="s">
        <v>10</v>
      </c>
      <c r="W14" s="11"/>
      <c r="AN14" s="25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6"/>
    </row>
    <row r="15" spans="1:61" x14ac:dyDescent="0.2">
      <c r="A15">
        <v>2</v>
      </c>
      <c r="B15" t="s">
        <v>15</v>
      </c>
      <c r="W15" s="11"/>
      <c r="AN15" s="25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6"/>
    </row>
    <row r="16" spans="1:61" x14ac:dyDescent="0.2">
      <c r="W16" s="11"/>
      <c r="AN16" s="25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6"/>
    </row>
    <row r="17" spans="3:79" x14ac:dyDescent="0.2">
      <c r="W17" s="11"/>
      <c r="AN17" s="25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6"/>
      <c r="BK17">
        <v>0</v>
      </c>
      <c r="BL17" s="1"/>
      <c r="BM17" s="2"/>
      <c r="BN17" s="2"/>
      <c r="BO17" s="3"/>
      <c r="BP17" s="1"/>
      <c r="BQ17" s="2"/>
      <c r="BR17" s="2"/>
      <c r="BS17" s="3"/>
      <c r="BT17" s="1"/>
      <c r="BU17" s="2"/>
      <c r="BV17" s="2"/>
      <c r="BW17" s="3"/>
      <c r="BX17" s="1"/>
      <c r="BY17" s="2"/>
      <c r="BZ17" s="2"/>
      <c r="CA17" s="3"/>
    </row>
    <row r="18" spans="3:79" x14ac:dyDescent="0.2">
      <c r="W18" s="11"/>
      <c r="AN18" s="25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6"/>
      <c r="BL18" s="4"/>
      <c r="BM18" s="5"/>
      <c r="BN18" s="5"/>
      <c r="BO18" s="6"/>
      <c r="BP18" s="4"/>
      <c r="BQ18" s="5"/>
      <c r="BR18" s="5"/>
      <c r="BS18" s="6"/>
      <c r="BT18" s="4"/>
      <c r="BU18" s="5"/>
      <c r="BV18" s="5"/>
      <c r="BW18" s="6"/>
      <c r="BX18" s="4"/>
      <c r="BY18" s="5"/>
      <c r="BZ18" s="5"/>
      <c r="CA18" s="6"/>
    </row>
    <row r="19" spans="3:79" x14ac:dyDescent="0.2">
      <c r="W19" s="11"/>
      <c r="X19" s="49" t="str">
        <f>IF(A4="停止","开始","停止")</f>
        <v>停止</v>
      </c>
      <c r="Y19" s="49"/>
      <c r="AD19" s="49" t="str">
        <f>IF(A4="停止","",IF(A4="暂停","恢复","暂停"))</f>
        <v>恢复</v>
      </c>
      <c r="AE19" s="49"/>
      <c r="AN19" s="25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6"/>
      <c r="BL19" s="4"/>
      <c r="BM19" s="5"/>
      <c r="BN19" s="5"/>
      <c r="BO19" s="6"/>
      <c r="BP19" s="4"/>
      <c r="BQ19" s="5"/>
      <c r="BR19" s="5"/>
      <c r="BS19" s="6"/>
      <c r="BT19" s="4"/>
      <c r="BU19" s="5"/>
      <c r="BV19" s="5"/>
      <c r="BW19" s="6"/>
      <c r="BX19" s="4"/>
      <c r="BY19" s="5"/>
      <c r="BZ19" s="5"/>
      <c r="CA19" s="6"/>
    </row>
    <row r="20" spans="3:79" ht="15" thickBot="1" x14ac:dyDescent="0.25">
      <c r="W20" s="11"/>
      <c r="AN20" s="25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6"/>
      <c r="BL20" s="7"/>
      <c r="BM20" s="8"/>
      <c r="BN20" s="8"/>
      <c r="BO20" s="9"/>
      <c r="BP20" s="7"/>
      <c r="BQ20" s="8"/>
      <c r="BR20" s="8"/>
      <c r="BS20" s="9"/>
      <c r="BT20" s="7"/>
      <c r="BU20" s="8"/>
      <c r="BV20" s="8"/>
      <c r="BW20" s="9"/>
      <c r="BX20" s="7"/>
      <c r="BY20" s="8"/>
      <c r="BZ20" s="8"/>
      <c r="CA20" s="9"/>
    </row>
    <row r="21" spans="3:79" ht="15" customHeight="1" x14ac:dyDescent="0.2">
      <c r="C21">
        <f t="shared" ref="C21:C39" si="0">SUM(E21:N21)</f>
        <v>0</v>
      </c>
      <c r="D21" s="20">
        <v>1</v>
      </c>
      <c r="E21" s="12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4">
        <v>0</v>
      </c>
      <c r="O21" s="5">
        <v>1</v>
      </c>
      <c r="R21" s="1">
        <f t="shared" ref="R21:U24" ca="1" si="1">OFFSET($W$21,ROW()-ROW($R$21)+$A$5,COLUMN()-COLUMN($R$21)+$A$9)</f>
        <v>0</v>
      </c>
      <c r="S21" s="2">
        <f t="shared" ca="1" si="1"/>
        <v>1</v>
      </c>
      <c r="T21" s="2">
        <f t="shared" ca="1" si="1"/>
        <v>0</v>
      </c>
      <c r="U21" s="3">
        <f t="shared" ca="1" si="1"/>
        <v>0</v>
      </c>
      <c r="W21" s="30">
        <f t="shared" ref="W21:W40" ca="1" si="2">OFFSET($AW$21,ROW()-ROW($W$21)-$A$5,COLUMN()-COLUMN($W$21)-$A$9)+E21</f>
        <v>0</v>
      </c>
      <c r="X21" s="31">
        <f t="shared" ref="X21:X40" ca="1" si="3">OFFSET($AW$21,ROW()-ROW($W$21)-$A$5,COLUMN()-COLUMN($W$21)-$A$9)+F21</f>
        <v>0</v>
      </c>
      <c r="Y21" s="31">
        <f t="shared" ref="Y21:Y40" ca="1" si="4">OFFSET($AW$21,ROW()-ROW($W$21)-$A$5,COLUMN()-COLUMN($W$21)-$A$9)+G21</f>
        <v>0</v>
      </c>
      <c r="Z21" s="31">
        <f t="shared" ref="Z21:Z40" ca="1" si="5">OFFSET($AW$21,ROW()-ROW($W$21)-$A$5,COLUMN()-COLUMN($W$21)-$A$9)+H21</f>
        <v>0</v>
      </c>
      <c r="AA21" s="31">
        <f t="shared" ref="AA21:AA40" ca="1" si="6">OFFSET($AW$21,ROW()-ROW($W$21)-$A$5,COLUMN()-COLUMN($W$21)-$A$9)+I21</f>
        <v>0</v>
      </c>
      <c r="AB21" s="31">
        <f t="shared" ref="AB21:AB40" ca="1" si="7">OFFSET($AW$21,ROW()-ROW($W$21)-$A$5,COLUMN()-COLUMN($W$21)-$A$9)+J21</f>
        <v>0</v>
      </c>
      <c r="AC21" s="31">
        <f t="shared" ref="AC21:AC40" ca="1" si="8">OFFSET($AW$21,ROW()-ROW($W$21)-$A$5,COLUMN()-COLUMN($W$21)-$A$9)+K21</f>
        <v>0</v>
      </c>
      <c r="AD21" s="31">
        <f t="shared" ref="AD21:AD40" ca="1" si="9">OFFSET($AW$21,ROW()-ROW($W$21)-$A$5,COLUMN()-COLUMN($W$21)-$A$9)+L21</f>
        <v>1</v>
      </c>
      <c r="AE21" s="31">
        <f t="shared" ref="AE21:AE40" ca="1" si="10">OFFSET($AW$21,ROW()-ROW($W$21)-$A$5,COLUMN()-COLUMN($W$21)-$A$9)+M21</f>
        <v>0</v>
      </c>
      <c r="AF21" s="32">
        <f t="shared" ref="AF21:AF40" ca="1" si="11">OFFSET($AW$21,ROW()-ROW($W$21)-$A$5,COLUMN()-COLUMN($W$21)-$A$9)+N21</f>
        <v>0</v>
      </c>
      <c r="AG21" s="40" t="s">
        <v>13</v>
      </c>
      <c r="AH21" s="39">
        <f ca="1">OFFSET(BL17, $A$12*4, $A$13*4)</f>
        <v>0</v>
      </c>
      <c r="AI21" s="39">
        <f t="shared" ref="AI21:AK21" ca="1" si="12">OFFSET(BM17, $A$12*4, $A$13*4)</f>
        <v>1</v>
      </c>
      <c r="AJ21" s="39">
        <f t="shared" ca="1" si="12"/>
        <v>0</v>
      </c>
      <c r="AK21" s="39">
        <f t="shared" ca="1" si="12"/>
        <v>0</v>
      </c>
      <c r="AN21" s="25"/>
      <c r="AO21" s="21"/>
      <c r="AP21" s="21"/>
      <c r="AQ21" s="21"/>
      <c r="AR21" s="21"/>
      <c r="AS21" s="21"/>
      <c r="AT21" s="21"/>
      <c r="AU21" s="21"/>
      <c r="AV21" s="21"/>
      <c r="AW21" s="1">
        <f ca="1">OFFSET(BL17, $A$2*4, $A$3*4)</f>
        <v>0</v>
      </c>
      <c r="AX21" s="2">
        <f t="shared" ref="AX21:AZ21" ca="1" si="13">OFFSET(BM17, $A$2*4, $A$3*4)</f>
        <v>1</v>
      </c>
      <c r="AY21" s="2">
        <f t="shared" ca="1" si="13"/>
        <v>0</v>
      </c>
      <c r="AZ21" s="3">
        <f t="shared" ca="1" si="13"/>
        <v>0</v>
      </c>
      <c r="BA21" s="21"/>
      <c r="BB21" s="21"/>
      <c r="BC21" s="21"/>
      <c r="BD21" s="21"/>
      <c r="BE21" s="21"/>
      <c r="BF21" s="21"/>
      <c r="BG21" s="21"/>
      <c r="BH21" s="21"/>
      <c r="BI21" s="26"/>
      <c r="BK21">
        <v>1</v>
      </c>
      <c r="BL21" s="1"/>
      <c r="BM21" s="2">
        <v>1</v>
      </c>
      <c r="BN21" s="2"/>
      <c r="BO21" s="3"/>
      <c r="BP21" s="1"/>
      <c r="BQ21" s="2"/>
      <c r="BR21" s="2"/>
      <c r="BS21" s="3"/>
      <c r="BT21" s="1"/>
      <c r="BU21" s="2">
        <v>1</v>
      </c>
      <c r="BV21" s="2"/>
      <c r="BW21" s="3"/>
      <c r="BX21" s="1"/>
      <c r="BY21" s="2"/>
      <c r="BZ21" s="2"/>
      <c r="CA21" s="3"/>
    </row>
    <row r="22" spans="3:79" ht="15" customHeight="1" x14ac:dyDescent="0.2">
      <c r="C22">
        <f t="shared" si="0"/>
        <v>0</v>
      </c>
      <c r="D22" s="20">
        <v>1</v>
      </c>
      <c r="E22" s="16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15">
        <v>0</v>
      </c>
      <c r="O22" s="5">
        <v>1</v>
      </c>
      <c r="R22" s="4">
        <f t="shared" ca="1" si="1"/>
        <v>0</v>
      </c>
      <c r="S22" s="5">
        <f t="shared" ca="1" si="1"/>
        <v>1</v>
      </c>
      <c r="T22" s="5">
        <f t="shared" ca="1" si="1"/>
        <v>0</v>
      </c>
      <c r="U22" s="6">
        <f t="shared" ca="1" si="1"/>
        <v>0</v>
      </c>
      <c r="W22" s="33">
        <f t="shared" ca="1" si="2"/>
        <v>0</v>
      </c>
      <c r="X22" s="34">
        <f t="shared" ca="1" si="3"/>
        <v>0</v>
      </c>
      <c r="Y22" s="34">
        <f t="shared" ca="1" si="4"/>
        <v>0</v>
      </c>
      <c r="Z22" s="34">
        <f t="shared" ca="1" si="5"/>
        <v>0</v>
      </c>
      <c r="AA22" s="34">
        <f t="shared" ca="1" si="6"/>
        <v>0</v>
      </c>
      <c r="AB22" s="34">
        <f t="shared" ca="1" si="7"/>
        <v>0</v>
      </c>
      <c r="AC22" s="34">
        <f t="shared" ca="1" si="8"/>
        <v>0</v>
      </c>
      <c r="AD22" s="34">
        <f t="shared" ca="1" si="9"/>
        <v>1</v>
      </c>
      <c r="AE22" s="34">
        <f t="shared" ca="1" si="10"/>
        <v>0</v>
      </c>
      <c r="AF22" s="35">
        <f t="shared" ca="1" si="11"/>
        <v>0</v>
      </c>
      <c r="AH22" s="39">
        <f t="shared" ref="AH22:AK22" ca="1" si="14">OFFSET(BL18, $A$12*4, $A$13*4)</f>
        <v>1</v>
      </c>
      <c r="AI22" s="39">
        <f t="shared" ca="1" si="14"/>
        <v>1</v>
      </c>
      <c r="AJ22" s="39">
        <f t="shared" ca="1" si="14"/>
        <v>0</v>
      </c>
      <c r="AK22" s="39">
        <f t="shared" ca="1" si="14"/>
        <v>0</v>
      </c>
      <c r="AN22" s="25"/>
      <c r="AO22" s="21"/>
      <c r="AP22" s="21"/>
      <c r="AQ22" s="21"/>
      <c r="AR22" s="21"/>
      <c r="AS22" s="21"/>
      <c r="AT22" s="21"/>
      <c r="AU22" s="21"/>
      <c r="AV22" s="21"/>
      <c r="AW22" s="4">
        <f t="shared" ref="AW22:AZ22" ca="1" si="15">OFFSET(BL18, $A$2*4, $A$3*4)</f>
        <v>0</v>
      </c>
      <c r="AX22" s="5">
        <f t="shared" ca="1" si="15"/>
        <v>1</v>
      </c>
      <c r="AY22" s="5">
        <f t="shared" ca="1" si="15"/>
        <v>0</v>
      </c>
      <c r="AZ22" s="6">
        <f t="shared" ca="1" si="15"/>
        <v>0</v>
      </c>
      <c r="BA22" s="21"/>
      <c r="BB22" s="21"/>
      <c r="BC22" s="21"/>
      <c r="BD22" s="21"/>
      <c r="BE22" s="21"/>
      <c r="BF22" s="21"/>
      <c r="BG22" s="21"/>
      <c r="BH22" s="21"/>
      <c r="BI22" s="26"/>
      <c r="BL22" s="4"/>
      <c r="BM22" s="5">
        <v>1</v>
      </c>
      <c r="BN22" s="5"/>
      <c r="BO22" s="6"/>
      <c r="BP22" s="4">
        <v>1</v>
      </c>
      <c r="BQ22" s="5">
        <v>1</v>
      </c>
      <c r="BR22" s="5">
        <v>1</v>
      </c>
      <c r="BS22" s="6">
        <v>1</v>
      </c>
      <c r="BT22" s="4"/>
      <c r="BU22" s="5">
        <v>1</v>
      </c>
      <c r="BV22" s="5"/>
      <c r="BW22" s="6"/>
      <c r="BX22" s="4">
        <v>1</v>
      </c>
      <c r="BY22" s="5">
        <v>1</v>
      </c>
      <c r="BZ22" s="5">
        <v>1</v>
      </c>
      <c r="CA22" s="6">
        <v>1</v>
      </c>
    </row>
    <row r="23" spans="3:79" ht="15" customHeight="1" x14ac:dyDescent="0.2">
      <c r="C23">
        <f t="shared" si="0"/>
        <v>0</v>
      </c>
      <c r="D23" s="20">
        <v>1</v>
      </c>
      <c r="E23" s="16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15">
        <v>0</v>
      </c>
      <c r="O23" s="5">
        <v>1</v>
      </c>
      <c r="R23" s="4">
        <f t="shared" ca="1" si="1"/>
        <v>0</v>
      </c>
      <c r="S23" s="5">
        <f t="shared" ca="1" si="1"/>
        <v>1</v>
      </c>
      <c r="T23" s="5">
        <f t="shared" ca="1" si="1"/>
        <v>0</v>
      </c>
      <c r="U23" s="6">
        <f t="shared" ca="1" si="1"/>
        <v>0</v>
      </c>
      <c r="W23" s="33">
        <f t="shared" ca="1" si="2"/>
        <v>0</v>
      </c>
      <c r="X23" s="34">
        <f t="shared" ca="1" si="3"/>
        <v>0</v>
      </c>
      <c r="Y23" s="34">
        <f t="shared" ca="1" si="4"/>
        <v>0</v>
      </c>
      <c r="Z23" s="34">
        <f t="shared" ca="1" si="5"/>
        <v>0</v>
      </c>
      <c r="AA23" s="34">
        <f t="shared" ca="1" si="6"/>
        <v>0</v>
      </c>
      <c r="AB23" s="34">
        <f t="shared" ca="1" si="7"/>
        <v>0</v>
      </c>
      <c r="AC23" s="34">
        <f t="shared" ca="1" si="8"/>
        <v>0</v>
      </c>
      <c r="AD23" s="34">
        <f t="shared" ca="1" si="9"/>
        <v>1</v>
      </c>
      <c r="AE23" s="34">
        <f t="shared" ca="1" si="10"/>
        <v>0</v>
      </c>
      <c r="AF23" s="35">
        <f t="shared" ca="1" si="11"/>
        <v>0</v>
      </c>
      <c r="AH23" s="39">
        <f t="shared" ref="AH23:AK23" ca="1" si="16">OFFSET(BL19, $A$12*4, $A$13*4)</f>
        <v>1</v>
      </c>
      <c r="AI23" s="39">
        <f t="shared" ca="1" si="16"/>
        <v>0</v>
      </c>
      <c r="AJ23" s="39">
        <f t="shared" ca="1" si="16"/>
        <v>0</v>
      </c>
      <c r="AK23" s="39">
        <f t="shared" ca="1" si="16"/>
        <v>0</v>
      </c>
      <c r="AN23" s="25"/>
      <c r="AO23" s="21"/>
      <c r="AP23" s="21"/>
      <c r="AQ23" s="21"/>
      <c r="AR23" s="21"/>
      <c r="AS23" s="21"/>
      <c r="AT23" s="21"/>
      <c r="AU23" s="21"/>
      <c r="AV23" s="21"/>
      <c r="AW23" s="4">
        <f t="shared" ref="AW23:AZ23" ca="1" si="17">OFFSET(BL19, $A$2*4, $A$3*4)</f>
        <v>0</v>
      </c>
      <c r="AX23" s="5">
        <f t="shared" ca="1" si="17"/>
        <v>1</v>
      </c>
      <c r="AY23" s="5">
        <f t="shared" ca="1" si="17"/>
        <v>0</v>
      </c>
      <c r="AZ23" s="6">
        <f t="shared" ca="1" si="17"/>
        <v>0</v>
      </c>
      <c r="BA23" s="21"/>
      <c r="BB23" s="21"/>
      <c r="BC23" s="21"/>
      <c r="BD23" s="21"/>
      <c r="BE23" s="21"/>
      <c r="BF23" s="21"/>
      <c r="BG23" s="21"/>
      <c r="BH23" s="21"/>
      <c r="BI23" s="26"/>
      <c r="BL23" s="4"/>
      <c r="BM23" s="5">
        <v>1</v>
      </c>
      <c r="BN23" s="5"/>
      <c r="BO23" s="6"/>
      <c r="BP23" s="4"/>
      <c r="BQ23" s="5"/>
      <c r="BR23" s="5"/>
      <c r="BS23" s="6"/>
      <c r="BT23" s="4"/>
      <c r="BU23" s="5">
        <v>1</v>
      </c>
      <c r="BV23" s="5"/>
      <c r="BW23" s="6"/>
      <c r="BX23" s="4"/>
      <c r="BY23" s="5"/>
      <c r="BZ23" s="5"/>
      <c r="CA23" s="6"/>
    </row>
    <row r="24" spans="3:79" ht="15" customHeight="1" x14ac:dyDescent="0.2">
      <c r="C24">
        <f t="shared" si="0"/>
        <v>0</v>
      </c>
      <c r="D24" s="20">
        <v>1</v>
      </c>
      <c r="E24" s="16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15">
        <v>0</v>
      </c>
      <c r="O24" s="5">
        <v>1</v>
      </c>
      <c r="R24" s="7">
        <f t="shared" ca="1" si="1"/>
        <v>0</v>
      </c>
      <c r="S24" s="8">
        <f t="shared" ca="1" si="1"/>
        <v>1</v>
      </c>
      <c r="T24" s="8">
        <f t="shared" ca="1" si="1"/>
        <v>0</v>
      </c>
      <c r="U24" s="9">
        <f t="shared" ca="1" si="1"/>
        <v>0</v>
      </c>
      <c r="W24" s="33">
        <f t="shared" ca="1" si="2"/>
        <v>0</v>
      </c>
      <c r="X24" s="34">
        <f t="shared" ca="1" si="3"/>
        <v>0</v>
      </c>
      <c r="Y24" s="34">
        <f t="shared" ca="1" si="4"/>
        <v>0</v>
      </c>
      <c r="Z24" s="34">
        <f t="shared" ca="1" si="5"/>
        <v>0</v>
      </c>
      <c r="AA24" s="34">
        <f t="shared" ca="1" si="6"/>
        <v>0</v>
      </c>
      <c r="AB24" s="34">
        <f t="shared" ca="1" si="7"/>
        <v>0</v>
      </c>
      <c r="AC24" s="34">
        <f t="shared" ca="1" si="8"/>
        <v>0</v>
      </c>
      <c r="AD24" s="34">
        <f t="shared" ca="1" si="9"/>
        <v>1</v>
      </c>
      <c r="AE24" s="34">
        <f t="shared" ca="1" si="10"/>
        <v>0</v>
      </c>
      <c r="AF24" s="35">
        <f t="shared" ca="1" si="11"/>
        <v>0</v>
      </c>
      <c r="AH24" s="39">
        <f t="shared" ref="AH24:AK24" ca="1" si="18">OFFSET(BL20, $A$12*4, $A$13*4)</f>
        <v>0</v>
      </c>
      <c r="AI24" s="39">
        <f t="shared" ca="1" si="18"/>
        <v>0</v>
      </c>
      <c r="AJ24" s="39">
        <f t="shared" ca="1" si="18"/>
        <v>0</v>
      </c>
      <c r="AK24" s="39">
        <f t="shared" ca="1" si="18"/>
        <v>0</v>
      </c>
      <c r="AN24" s="27"/>
      <c r="AO24" s="28"/>
      <c r="AP24" s="28"/>
      <c r="AQ24" s="28"/>
      <c r="AR24" s="28"/>
      <c r="AS24" s="28"/>
      <c r="AT24" s="28"/>
      <c r="AU24" s="28"/>
      <c r="AV24" s="28"/>
      <c r="AW24" s="7">
        <f t="shared" ref="AW24:AZ24" ca="1" si="19">OFFSET(BL20, $A$2*4, $A$3*4)</f>
        <v>0</v>
      </c>
      <c r="AX24" s="8">
        <f t="shared" ca="1" si="19"/>
        <v>1</v>
      </c>
      <c r="AY24" s="8">
        <f t="shared" ca="1" si="19"/>
        <v>0</v>
      </c>
      <c r="AZ24" s="9">
        <f t="shared" ca="1" si="19"/>
        <v>0</v>
      </c>
      <c r="BA24" s="28"/>
      <c r="BB24" s="28"/>
      <c r="BC24" s="28"/>
      <c r="BD24" s="28"/>
      <c r="BE24" s="28"/>
      <c r="BF24" s="28"/>
      <c r="BG24" s="28"/>
      <c r="BH24" s="28"/>
      <c r="BI24" s="29"/>
      <c r="BL24" s="7"/>
      <c r="BM24" s="8">
        <v>1</v>
      </c>
      <c r="BN24" s="8"/>
      <c r="BO24" s="9"/>
      <c r="BP24" s="7"/>
      <c r="BQ24" s="8"/>
      <c r="BR24" s="8"/>
      <c r="BS24" s="9"/>
      <c r="BT24" s="7"/>
      <c r="BU24" s="8">
        <v>1</v>
      </c>
      <c r="BV24" s="8"/>
      <c r="BW24" s="9"/>
      <c r="BX24" s="7"/>
      <c r="BY24" s="8"/>
      <c r="BZ24" s="8"/>
      <c r="CA24" s="9"/>
    </row>
    <row r="25" spans="3:79" ht="15" customHeight="1" x14ac:dyDescent="0.2">
      <c r="C25">
        <f t="shared" si="0"/>
        <v>0</v>
      </c>
      <c r="D25" s="20">
        <v>1</v>
      </c>
      <c r="E25" s="16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15">
        <v>0</v>
      </c>
      <c r="O25" s="5">
        <v>1</v>
      </c>
      <c r="W25" s="33">
        <f t="shared" ca="1" si="2"/>
        <v>0</v>
      </c>
      <c r="X25" s="34">
        <f t="shared" ca="1" si="3"/>
        <v>0</v>
      </c>
      <c r="Y25" s="34">
        <f t="shared" ca="1" si="4"/>
        <v>0</v>
      </c>
      <c r="Z25" s="34">
        <f t="shared" ca="1" si="5"/>
        <v>0</v>
      </c>
      <c r="AA25" s="34">
        <f t="shared" ca="1" si="6"/>
        <v>0</v>
      </c>
      <c r="AB25" s="34">
        <f t="shared" ca="1" si="7"/>
        <v>0</v>
      </c>
      <c r="AC25" s="34">
        <f t="shared" ca="1" si="8"/>
        <v>0</v>
      </c>
      <c r="AD25" s="34">
        <f t="shared" ca="1" si="9"/>
        <v>0</v>
      </c>
      <c r="AE25" s="34">
        <f t="shared" ca="1" si="10"/>
        <v>0</v>
      </c>
      <c r="AF25" s="35">
        <f t="shared" ca="1" si="11"/>
        <v>0</v>
      </c>
      <c r="AG25" s="41" t="s">
        <v>14</v>
      </c>
      <c r="AH25" s="47">
        <f>A15</f>
        <v>2</v>
      </c>
      <c r="AI25" s="47"/>
      <c r="AJ25" s="47"/>
      <c r="BK25">
        <v>2</v>
      </c>
      <c r="BL25" s="1"/>
      <c r="BM25" s="2">
        <v>1</v>
      </c>
      <c r="BN25" s="2"/>
      <c r="BO25" s="3"/>
      <c r="BP25" s="1">
        <v>1</v>
      </c>
      <c r="BQ25" s="2"/>
      <c r="BR25" s="2"/>
      <c r="BS25" s="3"/>
      <c r="BT25" s="1">
        <v>1</v>
      </c>
      <c r="BU25" s="2">
        <v>1</v>
      </c>
      <c r="BV25" s="2"/>
      <c r="BW25" s="3"/>
      <c r="BX25" s="1">
        <v>1</v>
      </c>
      <c r="BY25" s="2">
        <v>1</v>
      </c>
      <c r="BZ25" s="2">
        <v>1</v>
      </c>
      <c r="CA25" s="3"/>
    </row>
    <row r="26" spans="3:79" ht="15" customHeight="1" x14ac:dyDescent="0.2">
      <c r="C26">
        <f t="shared" si="0"/>
        <v>0</v>
      </c>
      <c r="D26" s="20">
        <v>1</v>
      </c>
      <c r="E26" s="16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15">
        <v>0</v>
      </c>
      <c r="O26" s="5">
        <v>1</v>
      </c>
      <c r="R26" s="1">
        <f t="shared" ref="R26:U29" ca="1" si="20">OFFSET($E$21,ROW()-ROW($R$26)+$A$5+1,COLUMN()-COLUMN($R$26)+$A$9)+AW21</f>
        <v>0</v>
      </c>
      <c r="S26" s="2">
        <f t="shared" ca="1" si="20"/>
        <v>1</v>
      </c>
      <c r="T26" s="2">
        <f t="shared" ca="1" si="20"/>
        <v>0</v>
      </c>
      <c r="U26" s="3">
        <f t="shared" ca="1" si="20"/>
        <v>0</v>
      </c>
      <c r="W26" s="33">
        <f t="shared" ca="1" si="2"/>
        <v>0</v>
      </c>
      <c r="X26" s="34">
        <f t="shared" ca="1" si="3"/>
        <v>0</v>
      </c>
      <c r="Y26" s="34">
        <f t="shared" ca="1" si="4"/>
        <v>0</v>
      </c>
      <c r="Z26" s="34">
        <f t="shared" ca="1" si="5"/>
        <v>0</v>
      </c>
      <c r="AA26" s="34">
        <f t="shared" ca="1" si="6"/>
        <v>0</v>
      </c>
      <c r="AB26" s="34">
        <f t="shared" ca="1" si="7"/>
        <v>0</v>
      </c>
      <c r="AC26" s="34">
        <f t="shared" ca="1" si="8"/>
        <v>0</v>
      </c>
      <c r="AD26" s="34">
        <f t="shared" ca="1" si="9"/>
        <v>0</v>
      </c>
      <c r="AE26" s="34">
        <f t="shared" ca="1" si="10"/>
        <v>0</v>
      </c>
      <c r="AF26" s="35">
        <f t="shared" ca="1" si="11"/>
        <v>0</v>
      </c>
      <c r="BL26" s="4"/>
      <c r="BM26" s="10">
        <v>1</v>
      </c>
      <c r="BN26" s="5"/>
      <c r="BO26" s="6"/>
      <c r="BP26" s="4">
        <v>1</v>
      </c>
      <c r="BQ26" s="5">
        <v>1</v>
      </c>
      <c r="BR26" s="5">
        <v>1</v>
      </c>
      <c r="BS26" s="6"/>
      <c r="BT26" s="4">
        <v>1</v>
      </c>
      <c r="BU26" s="5"/>
      <c r="BV26" s="5"/>
      <c r="BW26" s="6"/>
      <c r="BX26" s="4"/>
      <c r="BY26" s="5"/>
      <c r="BZ26" s="5">
        <v>1</v>
      </c>
      <c r="CA26" s="6"/>
    </row>
    <row r="27" spans="3:79" ht="15" customHeight="1" x14ac:dyDescent="0.2">
      <c r="C27">
        <f t="shared" si="0"/>
        <v>0</v>
      </c>
      <c r="D27" s="20">
        <v>1</v>
      </c>
      <c r="E27" s="16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15">
        <v>0</v>
      </c>
      <c r="O27" s="5">
        <v>1</v>
      </c>
      <c r="R27" s="4">
        <f t="shared" ca="1" si="20"/>
        <v>0</v>
      </c>
      <c r="S27" s="5">
        <f t="shared" ca="1" si="20"/>
        <v>1</v>
      </c>
      <c r="T27" s="5">
        <f t="shared" ca="1" si="20"/>
        <v>0</v>
      </c>
      <c r="U27" s="6">
        <f t="shared" ca="1" si="20"/>
        <v>0</v>
      </c>
      <c r="W27" s="33">
        <f t="shared" ca="1" si="2"/>
        <v>0</v>
      </c>
      <c r="X27" s="34">
        <f t="shared" ca="1" si="3"/>
        <v>0</v>
      </c>
      <c r="Y27" s="34">
        <f t="shared" ca="1" si="4"/>
        <v>0</v>
      </c>
      <c r="Z27" s="34">
        <f t="shared" ca="1" si="5"/>
        <v>0</v>
      </c>
      <c r="AA27" s="34">
        <f t="shared" ca="1" si="6"/>
        <v>0</v>
      </c>
      <c r="AB27" s="34">
        <f t="shared" ca="1" si="7"/>
        <v>0</v>
      </c>
      <c r="AC27" s="34">
        <f t="shared" ca="1" si="8"/>
        <v>0</v>
      </c>
      <c r="AD27" s="34">
        <f t="shared" ca="1" si="9"/>
        <v>0</v>
      </c>
      <c r="AE27" s="34">
        <f t="shared" ca="1" si="10"/>
        <v>0</v>
      </c>
      <c r="AF27" s="35">
        <f t="shared" ca="1" si="11"/>
        <v>0</v>
      </c>
      <c r="BL27" s="4">
        <v>1</v>
      </c>
      <c r="BM27" s="10">
        <v>1</v>
      </c>
      <c r="BN27" s="5"/>
      <c r="BO27" s="6"/>
      <c r="BP27" s="4"/>
      <c r="BQ27" s="5"/>
      <c r="BR27" s="5"/>
      <c r="BS27" s="6"/>
      <c r="BT27" s="4">
        <v>1</v>
      </c>
      <c r="BU27" s="5"/>
      <c r="BV27" s="5"/>
      <c r="BW27" s="6"/>
      <c r="BX27" s="4"/>
      <c r="BY27" s="5"/>
      <c r="BZ27" s="5"/>
      <c r="CA27" s="6"/>
    </row>
    <row r="28" spans="3:79" ht="15" customHeight="1" x14ac:dyDescent="0.2">
      <c r="C28">
        <f t="shared" si="0"/>
        <v>0</v>
      </c>
      <c r="D28" s="20">
        <v>1</v>
      </c>
      <c r="E28" s="16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15">
        <v>0</v>
      </c>
      <c r="O28" s="5">
        <v>1</v>
      </c>
      <c r="R28" s="4">
        <f t="shared" ca="1" si="20"/>
        <v>0</v>
      </c>
      <c r="S28" s="5">
        <f t="shared" ca="1" si="20"/>
        <v>1</v>
      </c>
      <c r="T28" s="5">
        <f t="shared" ca="1" si="20"/>
        <v>0</v>
      </c>
      <c r="U28" s="6">
        <f t="shared" ca="1" si="20"/>
        <v>0</v>
      </c>
      <c r="W28" s="33">
        <f t="shared" ca="1" si="2"/>
        <v>0</v>
      </c>
      <c r="X28" s="34">
        <f t="shared" ca="1" si="3"/>
        <v>0</v>
      </c>
      <c r="Y28" s="34">
        <f t="shared" ca="1" si="4"/>
        <v>0</v>
      </c>
      <c r="Z28" s="34">
        <f t="shared" ca="1" si="5"/>
        <v>0</v>
      </c>
      <c r="AA28" s="34">
        <f t="shared" ca="1" si="6"/>
        <v>0</v>
      </c>
      <c r="AB28" s="34">
        <f t="shared" ca="1" si="7"/>
        <v>0</v>
      </c>
      <c r="AC28" s="34">
        <f t="shared" ca="1" si="8"/>
        <v>0</v>
      </c>
      <c r="AD28" s="34">
        <f t="shared" ca="1" si="9"/>
        <v>0</v>
      </c>
      <c r="AE28" s="34">
        <f t="shared" ca="1" si="10"/>
        <v>0</v>
      </c>
      <c r="AF28" s="35">
        <f t="shared" ca="1" si="11"/>
        <v>0</v>
      </c>
      <c r="BL28" s="7"/>
      <c r="BM28" s="8"/>
      <c r="BN28" s="8"/>
      <c r="BO28" s="9"/>
      <c r="BP28" s="7"/>
      <c r="BQ28" s="8"/>
      <c r="BR28" s="8"/>
      <c r="BS28" s="9"/>
      <c r="BT28" s="7"/>
      <c r="BU28" s="8"/>
      <c r="BV28" s="8"/>
      <c r="BW28" s="9"/>
      <c r="BX28" s="7"/>
      <c r="BY28" s="8"/>
      <c r="BZ28" s="8"/>
      <c r="CA28" s="9"/>
    </row>
    <row r="29" spans="3:79" ht="15" customHeight="1" x14ac:dyDescent="0.2">
      <c r="C29">
        <f t="shared" si="0"/>
        <v>0</v>
      </c>
      <c r="D29" s="20">
        <v>1</v>
      </c>
      <c r="E29" s="16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15">
        <v>0</v>
      </c>
      <c r="O29" s="5">
        <v>1</v>
      </c>
      <c r="R29" s="7">
        <f t="shared" ca="1" si="20"/>
        <v>0</v>
      </c>
      <c r="S29" s="8">
        <f t="shared" ca="1" si="20"/>
        <v>1</v>
      </c>
      <c r="T29" s="8">
        <f t="shared" ca="1" si="20"/>
        <v>0</v>
      </c>
      <c r="U29" s="9">
        <f t="shared" ca="1" si="20"/>
        <v>0</v>
      </c>
      <c r="W29" s="33">
        <f t="shared" ca="1" si="2"/>
        <v>0</v>
      </c>
      <c r="X29" s="34">
        <f t="shared" ca="1" si="3"/>
        <v>0</v>
      </c>
      <c r="Y29" s="34">
        <f t="shared" ca="1" si="4"/>
        <v>0</v>
      </c>
      <c r="Z29" s="34">
        <f t="shared" ca="1" si="5"/>
        <v>0</v>
      </c>
      <c r="AA29" s="34">
        <f t="shared" ca="1" si="6"/>
        <v>0</v>
      </c>
      <c r="AB29" s="34">
        <f t="shared" ca="1" si="7"/>
        <v>0</v>
      </c>
      <c r="AC29" s="34">
        <f t="shared" ca="1" si="8"/>
        <v>0</v>
      </c>
      <c r="AD29" s="34">
        <f t="shared" ca="1" si="9"/>
        <v>0</v>
      </c>
      <c r="AE29" s="34">
        <f t="shared" ca="1" si="10"/>
        <v>0</v>
      </c>
      <c r="AF29" s="35">
        <f t="shared" ca="1" si="11"/>
        <v>0</v>
      </c>
      <c r="BK29">
        <v>3</v>
      </c>
      <c r="BL29" s="1"/>
      <c r="BM29" s="2">
        <v>1</v>
      </c>
      <c r="BN29" s="2"/>
      <c r="BO29" s="3"/>
      <c r="BP29" s="1">
        <v>1</v>
      </c>
      <c r="BQ29" s="2">
        <v>1</v>
      </c>
      <c r="BR29" s="2">
        <v>1</v>
      </c>
      <c r="BS29" s="3"/>
      <c r="BT29" s="1">
        <v>1</v>
      </c>
      <c r="BU29" s="2">
        <v>1</v>
      </c>
      <c r="BV29" s="2"/>
      <c r="BW29" s="3"/>
      <c r="BX29" s="1"/>
      <c r="BY29" s="2"/>
      <c r="BZ29" s="2">
        <v>1</v>
      </c>
      <c r="CA29" s="3"/>
    </row>
    <row r="30" spans="3:79" ht="15" customHeight="1" x14ac:dyDescent="0.2">
      <c r="C30">
        <f t="shared" si="0"/>
        <v>0</v>
      </c>
      <c r="D30" s="20">
        <v>1</v>
      </c>
      <c r="E30" s="16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15">
        <v>0</v>
      </c>
      <c r="O30" s="5">
        <v>1</v>
      </c>
      <c r="W30" s="33">
        <f t="shared" ca="1" si="2"/>
        <v>0</v>
      </c>
      <c r="X30" s="34">
        <f t="shared" ca="1" si="3"/>
        <v>0</v>
      </c>
      <c r="Y30" s="34">
        <f t="shared" ca="1" si="4"/>
        <v>0</v>
      </c>
      <c r="Z30" s="34">
        <f t="shared" ca="1" si="5"/>
        <v>0</v>
      </c>
      <c r="AA30" s="34">
        <f t="shared" ca="1" si="6"/>
        <v>0</v>
      </c>
      <c r="AB30" s="34">
        <f t="shared" ca="1" si="7"/>
        <v>0</v>
      </c>
      <c r="AC30" s="34">
        <f t="shared" ca="1" si="8"/>
        <v>0</v>
      </c>
      <c r="AD30" s="34">
        <f t="shared" ca="1" si="9"/>
        <v>0</v>
      </c>
      <c r="AE30" s="34">
        <f t="shared" ca="1" si="10"/>
        <v>0</v>
      </c>
      <c r="AF30" s="35">
        <f t="shared" ca="1" si="11"/>
        <v>0</v>
      </c>
      <c r="BL30" s="4"/>
      <c r="BM30" s="10">
        <v>1</v>
      </c>
      <c r="BN30" s="5"/>
      <c r="BO30" s="6"/>
      <c r="BP30" s="4">
        <v>1</v>
      </c>
      <c r="BQ30" s="5"/>
      <c r="BR30" s="5"/>
      <c r="BS30" s="6"/>
      <c r="BT30" s="4"/>
      <c r="BU30" s="5">
        <v>1</v>
      </c>
      <c r="BV30" s="5"/>
      <c r="BW30" s="6"/>
      <c r="BX30" s="4">
        <v>1</v>
      </c>
      <c r="BY30" s="5">
        <v>1</v>
      </c>
      <c r="BZ30" s="5">
        <v>1</v>
      </c>
      <c r="CA30" s="6"/>
    </row>
    <row r="31" spans="3:79" ht="15" customHeight="1" x14ac:dyDescent="0.2">
      <c r="C31">
        <f t="shared" si="0"/>
        <v>0</v>
      </c>
      <c r="D31" s="20">
        <v>1</v>
      </c>
      <c r="E31" s="16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15">
        <v>0</v>
      </c>
      <c r="O31" s="5">
        <v>1</v>
      </c>
      <c r="R31" s="1">
        <f t="shared" ref="R31:U34" ca="1" si="21">OFFSET($E$21,ROW()-ROW($R$31)+$A$5,COLUMN()-COLUMN($R$31)+$A$9-1)+AW21</f>
        <v>0</v>
      </c>
      <c r="S31" s="2">
        <f t="shared" ca="1" si="21"/>
        <v>1</v>
      </c>
      <c r="T31" s="2">
        <f t="shared" ca="1" si="21"/>
        <v>0</v>
      </c>
      <c r="U31" s="3">
        <f t="shared" ca="1" si="21"/>
        <v>0</v>
      </c>
      <c r="W31" s="33">
        <f t="shared" ca="1" si="2"/>
        <v>0</v>
      </c>
      <c r="X31" s="34">
        <f t="shared" ca="1" si="3"/>
        <v>0</v>
      </c>
      <c r="Y31" s="34">
        <f t="shared" ca="1" si="4"/>
        <v>0</v>
      </c>
      <c r="Z31" s="34">
        <f t="shared" ca="1" si="5"/>
        <v>0</v>
      </c>
      <c r="AA31" s="34">
        <f t="shared" ca="1" si="6"/>
        <v>0</v>
      </c>
      <c r="AB31" s="34">
        <f t="shared" ca="1" si="7"/>
        <v>0</v>
      </c>
      <c r="AC31" s="34">
        <f t="shared" ca="1" si="8"/>
        <v>0</v>
      </c>
      <c r="AD31" s="34">
        <f t="shared" ca="1" si="9"/>
        <v>0</v>
      </c>
      <c r="AE31" s="34">
        <f t="shared" ca="1" si="10"/>
        <v>0</v>
      </c>
      <c r="AF31" s="35">
        <f t="shared" ca="1" si="11"/>
        <v>0</v>
      </c>
      <c r="BL31" s="4"/>
      <c r="BM31" s="10">
        <v>1</v>
      </c>
      <c r="BN31" s="5">
        <v>1</v>
      </c>
      <c r="BO31" s="6"/>
      <c r="BP31" s="4"/>
      <c r="BQ31" s="5"/>
      <c r="BR31" s="5"/>
      <c r="BS31" s="6"/>
      <c r="BT31" s="4"/>
      <c r="BU31" s="5">
        <v>1</v>
      </c>
      <c r="BV31" s="5"/>
      <c r="BW31" s="6"/>
      <c r="BX31" s="4"/>
      <c r="BY31" s="5"/>
      <c r="BZ31" s="5"/>
      <c r="CA31" s="6"/>
    </row>
    <row r="32" spans="3:79" ht="15" customHeight="1" x14ac:dyDescent="0.2">
      <c r="C32">
        <f t="shared" si="0"/>
        <v>0</v>
      </c>
      <c r="D32" s="20">
        <v>1</v>
      </c>
      <c r="E32" s="16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15">
        <v>0</v>
      </c>
      <c r="O32" s="5">
        <v>1</v>
      </c>
      <c r="R32" s="4">
        <f t="shared" ca="1" si="21"/>
        <v>0</v>
      </c>
      <c r="S32" s="5">
        <f t="shared" ca="1" si="21"/>
        <v>1</v>
      </c>
      <c r="T32" s="5">
        <f t="shared" ca="1" si="21"/>
        <v>0</v>
      </c>
      <c r="U32" s="6">
        <f t="shared" ca="1" si="21"/>
        <v>0</v>
      </c>
      <c r="W32" s="33">
        <f t="shared" ca="1" si="2"/>
        <v>0</v>
      </c>
      <c r="X32" s="34">
        <f t="shared" ca="1" si="3"/>
        <v>0</v>
      </c>
      <c r="Y32" s="34">
        <f t="shared" ca="1" si="4"/>
        <v>0</v>
      </c>
      <c r="Z32" s="34">
        <f t="shared" ca="1" si="5"/>
        <v>0</v>
      </c>
      <c r="AA32" s="34">
        <f t="shared" ca="1" si="6"/>
        <v>0</v>
      </c>
      <c r="AB32" s="34">
        <f t="shared" ca="1" si="7"/>
        <v>0</v>
      </c>
      <c r="AC32" s="34">
        <f t="shared" ca="1" si="8"/>
        <v>0</v>
      </c>
      <c r="AD32" s="34">
        <f t="shared" ca="1" si="9"/>
        <v>0</v>
      </c>
      <c r="AE32" s="34">
        <f t="shared" ca="1" si="10"/>
        <v>0</v>
      </c>
      <c r="AF32" s="35">
        <f t="shared" ca="1" si="11"/>
        <v>0</v>
      </c>
      <c r="BL32" s="7"/>
      <c r="BM32" s="8"/>
      <c r="BN32" s="8"/>
      <c r="BO32" s="9"/>
      <c r="BP32" s="7"/>
      <c r="BQ32" s="8"/>
      <c r="BR32" s="8"/>
      <c r="BS32" s="9"/>
      <c r="BT32" s="7"/>
      <c r="BU32" s="8"/>
      <c r="BV32" s="8"/>
      <c r="BW32" s="9"/>
      <c r="BX32" s="7"/>
      <c r="BY32" s="8"/>
      <c r="BZ32" s="8"/>
      <c r="CA32" s="9"/>
    </row>
    <row r="33" spans="3:79" ht="15" customHeight="1" x14ac:dyDescent="0.2">
      <c r="C33">
        <f t="shared" si="0"/>
        <v>0</v>
      </c>
      <c r="D33" s="20">
        <v>1</v>
      </c>
      <c r="E33" s="16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15">
        <v>0</v>
      </c>
      <c r="O33" s="5">
        <v>1</v>
      </c>
      <c r="R33" s="4">
        <f t="shared" ca="1" si="21"/>
        <v>0</v>
      </c>
      <c r="S33" s="5">
        <f t="shared" ca="1" si="21"/>
        <v>1</v>
      </c>
      <c r="T33" s="5">
        <f t="shared" ca="1" si="21"/>
        <v>0</v>
      </c>
      <c r="U33" s="6">
        <f t="shared" ca="1" si="21"/>
        <v>0</v>
      </c>
      <c r="W33" s="33">
        <f t="shared" ca="1" si="2"/>
        <v>0</v>
      </c>
      <c r="X33" s="34">
        <f t="shared" ca="1" si="3"/>
        <v>0</v>
      </c>
      <c r="Y33" s="34">
        <f t="shared" ca="1" si="4"/>
        <v>0</v>
      </c>
      <c r="Z33" s="34">
        <f t="shared" ca="1" si="5"/>
        <v>0</v>
      </c>
      <c r="AA33" s="34">
        <f t="shared" ca="1" si="6"/>
        <v>0</v>
      </c>
      <c r="AB33" s="34">
        <f t="shared" ca="1" si="7"/>
        <v>0</v>
      </c>
      <c r="AC33" s="34">
        <f t="shared" ca="1" si="8"/>
        <v>0</v>
      </c>
      <c r="AD33" s="34">
        <f t="shared" ca="1" si="9"/>
        <v>0</v>
      </c>
      <c r="AE33" s="34">
        <f t="shared" ca="1" si="10"/>
        <v>0</v>
      </c>
      <c r="AF33" s="35">
        <f t="shared" ca="1" si="11"/>
        <v>0</v>
      </c>
      <c r="BK33">
        <v>4</v>
      </c>
      <c r="BL33" s="1">
        <v>1</v>
      </c>
      <c r="BM33" s="2">
        <v>1</v>
      </c>
      <c r="BN33" s="2">
        <v>1</v>
      </c>
      <c r="BO33" s="3"/>
      <c r="BP33" s="1"/>
      <c r="BQ33" s="2">
        <v>1</v>
      </c>
      <c r="BR33" s="2"/>
      <c r="BS33" s="3"/>
      <c r="BT33" s="1"/>
      <c r="BU33" s="2">
        <v>1</v>
      </c>
      <c r="BV33" s="2"/>
      <c r="BW33" s="3"/>
      <c r="BX33" s="1">
        <v>1</v>
      </c>
      <c r="BY33" s="2"/>
      <c r="BZ33" s="2"/>
      <c r="CA33" s="3"/>
    </row>
    <row r="34" spans="3:79" ht="15" customHeight="1" x14ac:dyDescent="0.2">
      <c r="C34">
        <f t="shared" si="0"/>
        <v>0</v>
      </c>
      <c r="D34" s="20">
        <v>1</v>
      </c>
      <c r="E34" s="16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15">
        <v>0</v>
      </c>
      <c r="O34" s="5">
        <v>1</v>
      </c>
      <c r="R34" s="7">
        <f t="shared" ca="1" si="21"/>
        <v>0</v>
      </c>
      <c r="S34" s="8">
        <f t="shared" ca="1" si="21"/>
        <v>1</v>
      </c>
      <c r="T34" s="8">
        <f t="shared" ca="1" si="21"/>
        <v>0</v>
      </c>
      <c r="U34" s="9">
        <f t="shared" ca="1" si="21"/>
        <v>0</v>
      </c>
      <c r="W34" s="33">
        <f t="shared" ca="1" si="2"/>
        <v>0</v>
      </c>
      <c r="X34" s="34">
        <f t="shared" ca="1" si="3"/>
        <v>0</v>
      </c>
      <c r="Y34" s="34">
        <f t="shared" ca="1" si="4"/>
        <v>0</v>
      </c>
      <c r="Z34" s="34">
        <f t="shared" ca="1" si="5"/>
        <v>0</v>
      </c>
      <c r="AA34" s="34">
        <f t="shared" ca="1" si="6"/>
        <v>0</v>
      </c>
      <c r="AB34" s="34">
        <f t="shared" ca="1" si="7"/>
        <v>0</v>
      </c>
      <c r="AC34" s="34">
        <f t="shared" ca="1" si="8"/>
        <v>0</v>
      </c>
      <c r="AD34" s="34">
        <f t="shared" ca="1" si="9"/>
        <v>0</v>
      </c>
      <c r="AE34" s="34">
        <f t="shared" ca="1" si="10"/>
        <v>0</v>
      </c>
      <c r="AF34" s="35">
        <f t="shared" ca="1" si="11"/>
        <v>0</v>
      </c>
      <c r="BL34" s="4"/>
      <c r="BM34" s="5">
        <v>1</v>
      </c>
      <c r="BN34" s="5"/>
      <c r="BO34" s="6"/>
      <c r="BP34" s="4">
        <v>1</v>
      </c>
      <c r="BQ34" s="5">
        <v>1</v>
      </c>
      <c r="BR34" s="5"/>
      <c r="BS34" s="6"/>
      <c r="BT34" s="4">
        <v>1</v>
      </c>
      <c r="BU34" s="5">
        <v>1</v>
      </c>
      <c r="BV34" s="5">
        <v>1</v>
      </c>
      <c r="BW34" s="6"/>
      <c r="BX34" s="4">
        <v>1</v>
      </c>
      <c r="BY34" s="5">
        <v>1</v>
      </c>
      <c r="BZ34" s="5"/>
      <c r="CA34" s="6"/>
    </row>
    <row r="35" spans="3:79" ht="15" customHeight="1" x14ac:dyDescent="0.2">
      <c r="C35">
        <f t="shared" si="0"/>
        <v>0</v>
      </c>
      <c r="D35" s="20">
        <v>1</v>
      </c>
      <c r="E35" s="16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15">
        <v>0</v>
      </c>
      <c r="O35" s="5">
        <v>1</v>
      </c>
      <c r="W35" s="33">
        <f t="shared" ca="1" si="2"/>
        <v>0</v>
      </c>
      <c r="X35" s="34">
        <f t="shared" ca="1" si="3"/>
        <v>0</v>
      </c>
      <c r="Y35" s="34">
        <f t="shared" ca="1" si="4"/>
        <v>0</v>
      </c>
      <c r="Z35" s="34">
        <f t="shared" ca="1" si="5"/>
        <v>0</v>
      </c>
      <c r="AA35" s="34">
        <f t="shared" ca="1" si="6"/>
        <v>0</v>
      </c>
      <c r="AB35" s="34">
        <f t="shared" ca="1" si="7"/>
        <v>0</v>
      </c>
      <c r="AC35" s="34">
        <f t="shared" ca="1" si="8"/>
        <v>0</v>
      </c>
      <c r="AD35" s="34">
        <f t="shared" ca="1" si="9"/>
        <v>0</v>
      </c>
      <c r="AE35" s="34">
        <f t="shared" ca="1" si="10"/>
        <v>0</v>
      </c>
      <c r="AF35" s="35">
        <f t="shared" ca="1" si="11"/>
        <v>0</v>
      </c>
      <c r="BL35" s="4"/>
      <c r="BM35" s="5"/>
      <c r="BN35" s="5"/>
      <c r="BO35" s="6"/>
      <c r="BP35" s="4"/>
      <c r="BQ35" s="5">
        <v>1</v>
      </c>
      <c r="BR35" s="5"/>
      <c r="BS35" s="6"/>
      <c r="BT35" s="4"/>
      <c r="BU35" s="5"/>
      <c r="BV35" s="5"/>
      <c r="BW35" s="6"/>
      <c r="BX35" s="4">
        <v>1</v>
      </c>
      <c r="BY35" s="5"/>
      <c r="BZ35" s="5"/>
      <c r="CA35" s="6"/>
    </row>
    <row r="36" spans="3:79" ht="15" customHeight="1" x14ac:dyDescent="0.2">
      <c r="C36">
        <f t="shared" si="0"/>
        <v>0</v>
      </c>
      <c r="D36" s="20">
        <v>1</v>
      </c>
      <c r="E36" s="16">
        <v>0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15">
        <v>0</v>
      </c>
      <c r="O36" s="5">
        <v>1</v>
      </c>
      <c r="R36" s="1">
        <f t="shared" ref="R36:U39" ca="1" si="22">OFFSET($E$21,ROW()-ROW($R$36)+$A$5,COLUMN()-COLUMN($R$36)+$A$9+1)+AW21</f>
        <v>0</v>
      </c>
      <c r="S36" s="2">
        <f t="shared" ca="1" si="22"/>
        <v>1</v>
      </c>
      <c r="T36" s="2">
        <f t="shared" ca="1" si="22"/>
        <v>0</v>
      </c>
      <c r="U36" s="3">
        <f t="shared" ca="1" si="22"/>
        <v>1</v>
      </c>
      <c r="W36" s="33">
        <f t="shared" ca="1" si="2"/>
        <v>0</v>
      </c>
      <c r="X36" s="34">
        <f t="shared" ca="1" si="3"/>
        <v>0</v>
      </c>
      <c r="Y36" s="34">
        <f t="shared" ca="1" si="4"/>
        <v>0</v>
      </c>
      <c r="Z36" s="34">
        <f t="shared" ca="1" si="5"/>
        <v>0</v>
      </c>
      <c r="AA36" s="34">
        <f t="shared" ca="1" si="6"/>
        <v>0</v>
      </c>
      <c r="AB36" s="34">
        <f t="shared" ca="1" si="7"/>
        <v>0</v>
      </c>
      <c r="AC36" s="34">
        <f t="shared" ca="1" si="8"/>
        <v>0</v>
      </c>
      <c r="AD36" s="34">
        <f t="shared" ca="1" si="9"/>
        <v>0</v>
      </c>
      <c r="AE36" s="34">
        <f t="shared" ca="1" si="10"/>
        <v>0</v>
      </c>
      <c r="AF36" s="35">
        <f t="shared" ca="1" si="11"/>
        <v>0</v>
      </c>
      <c r="BL36" s="7"/>
      <c r="BM36" s="8"/>
      <c r="BN36" s="8"/>
      <c r="BO36" s="9"/>
      <c r="BP36" s="7"/>
      <c r="BQ36" s="8"/>
      <c r="BR36" s="8"/>
      <c r="BS36" s="9"/>
      <c r="BT36" s="7"/>
      <c r="BU36" s="8"/>
      <c r="BV36" s="8"/>
      <c r="BW36" s="9"/>
      <c r="BX36" s="7"/>
      <c r="BY36" s="8"/>
      <c r="BZ36" s="8"/>
      <c r="CA36" s="9"/>
    </row>
    <row r="37" spans="3:79" ht="15" customHeight="1" x14ac:dyDescent="0.2">
      <c r="C37">
        <f t="shared" si="0"/>
        <v>5</v>
      </c>
      <c r="D37" s="20">
        <v>1</v>
      </c>
      <c r="E37" s="16">
        <v>0</v>
      </c>
      <c r="F37" s="5">
        <v>1</v>
      </c>
      <c r="G37" s="5">
        <v>1</v>
      </c>
      <c r="H37" s="5">
        <v>0</v>
      </c>
      <c r="I37" s="5">
        <v>1</v>
      </c>
      <c r="J37" s="5">
        <v>1</v>
      </c>
      <c r="K37" s="5">
        <v>0</v>
      </c>
      <c r="L37" s="5">
        <v>0</v>
      </c>
      <c r="M37" s="5">
        <v>0</v>
      </c>
      <c r="N37" s="15">
        <v>1</v>
      </c>
      <c r="O37" s="5">
        <v>1</v>
      </c>
      <c r="R37" s="4">
        <f t="shared" ca="1" si="22"/>
        <v>0</v>
      </c>
      <c r="S37" s="5">
        <f t="shared" ca="1" si="22"/>
        <v>1</v>
      </c>
      <c r="T37" s="5">
        <f t="shared" ca="1" si="22"/>
        <v>0</v>
      </c>
      <c r="U37" s="6">
        <f t="shared" ca="1" si="22"/>
        <v>1</v>
      </c>
      <c r="W37" s="33">
        <f t="shared" ca="1" si="2"/>
        <v>0</v>
      </c>
      <c r="X37" s="34">
        <f t="shared" ca="1" si="3"/>
        <v>1</v>
      </c>
      <c r="Y37" s="34">
        <f t="shared" ca="1" si="4"/>
        <v>1</v>
      </c>
      <c r="Z37" s="34">
        <f t="shared" ca="1" si="5"/>
        <v>0</v>
      </c>
      <c r="AA37" s="34">
        <f t="shared" ca="1" si="6"/>
        <v>1</v>
      </c>
      <c r="AB37" s="34">
        <f t="shared" ca="1" si="7"/>
        <v>1</v>
      </c>
      <c r="AC37" s="34">
        <f t="shared" ca="1" si="8"/>
        <v>0</v>
      </c>
      <c r="AD37" s="34">
        <f t="shared" ca="1" si="9"/>
        <v>0</v>
      </c>
      <c r="AE37" s="34">
        <f t="shared" ca="1" si="10"/>
        <v>0</v>
      </c>
      <c r="AF37" s="35">
        <f t="shared" ca="1" si="11"/>
        <v>1</v>
      </c>
      <c r="BK37">
        <v>5</v>
      </c>
      <c r="BL37" s="1">
        <v>1</v>
      </c>
      <c r="BM37" s="2">
        <v>1</v>
      </c>
      <c r="BN37" s="2"/>
      <c r="BO37" s="3"/>
      <c r="BP37" s="1"/>
      <c r="BQ37" s="2">
        <v>1</v>
      </c>
      <c r="BR37" s="2"/>
      <c r="BS37" s="3"/>
      <c r="BT37" s="1">
        <v>1</v>
      </c>
      <c r="BU37" s="2">
        <v>1</v>
      </c>
      <c r="BV37" s="2"/>
      <c r="BW37" s="3"/>
      <c r="BX37" s="1"/>
      <c r="BY37" s="2">
        <v>1</v>
      </c>
      <c r="BZ37" s="2"/>
      <c r="CA37" s="3"/>
    </row>
    <row r="38" spans="3:79" ht="15" customHeight="1" x14ac:dyDescent="0.2">
      <c r="C38">
        <f t="shared" si="0"/>
        <v>9</v>
      </c>
      <c r="D38" s="20">
        <v>1</v>
      </c>
      <c r="E38" s="16">
        <v>1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 s="5">
        <v>1</v>
      </c>
      <c r="M38" s="5">
        <v>0</v>
      </c>
      <c r="N38" s="15">
        <v>1</v>
      </c>
      <c r="O38" s="5">
        <v>1</v>
      </c>
      <c r="R38" s="4">
        <f t="shared" ca="1" si="22"/>
        <v>0</v>
      </c>
      <c r="S38" s="5">
        <f t="shared" ca="1" si="22"/>
        <v>1</v>
      </c>
      <c r="T38" s="5">
        <f t="shared" ca="1" si="22"/>
        <v>0</v>
      </c>
      <c r="U38" s="6">
        <f t="shared" ca="1" si="22"/>
        <v>1</v>
      </c>
      <c r="W38" s="33">
        <f t="shared" ca="1" si="2"/>
        <v>1</v>
      </c>
      <c r="X38" s="34">
        <f t="shared" ca="1" si="3"/>
        <v>1</v>
      </c>
      <c r="Y38" s="34">
        <f t="shared" ca="1" si="4"/>
        <v>1</v>
      </c>
      <c r="Z38" s="34">
        <f t="shared" ca="1" si="5"/>
        <v>1</v>
      </c>
      <c r="AA38" s="34">
        <f t="shared" ca="1" si="6"/>
        <v>1</v>
      </c>
      <c r="AB38" s="34">
        <f t="shared" ca="1" si="7"/>
        <v>1</v>
      </c>
      <c r="AC38" s="34">
        <f t="shared" ca="1" si="8"/>
        <v>1</v>
      </c>
      <c r="AD38" s="34">
        <f t="shared" ca="1" si="9"/>
        <v>1</v>
      </c>
      <c r="AE38" s="34">
        <f t="shared" ca="1" si="10"/>
        <v>0</v>
      </c>
      <c r="AF38" s="35">
        <f t="shared" ca="1" si="11"/>
        <v>1</v>
      </c>
      <c r="BL38" s="4"/>
      <c r="BM38" s="5">
        <v>1</v>
      </c>
      <c r="BN38" s="5">
        <v>1</v>
      </c>
      <c r="BO38" s="6"/>
      <c r="BP38" s="4">
        <v>1</v>
      </c>
      <c r="BQ38" s="5">
        <v>1</v>
      </c>
      <c r="BR38" s="5"/>
      <c r="BS38" s="6"/>
      <c r="BT38" s="4"/>
      <c r="BU38" s="5">
        <v>1</v>
      </c>
      <c r="BV38" s="5">
        <v>1</v>
      </c>
      <c r="BW38" s="6"/>
      <c r="BX38" s="4">
        <v>1</v>
      </c>
      <c r="BY38" s="5">
        <v>1</v>
      </c>
      <c r="BZ38" s="5"/>
      <c r="CA38" s="6"/>
    </row>
    <row r="39" spans="3:79" ht="15" customHeight="1" x14ac:dyDescent="0.2">
      <c r="C39">
        <f t="shared" si="0"/>
        <v>9</v>
      </c>
      <c r="D39" s="20">
        <v>1</v>
      </c>
      <c r="E39" s="16">
        <v>1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 s="5">
        <v>1</v>
      </c>
      <c r="M39" s="5">
        <v>0</v>
      </c>
      <c r="N39" s="15">
        <v>1</v>
      </c>
      <c r="O39" s="5">
        <v>1</v>
      </c>
      <c r="R39" s="7">
        <f t="shared" ca="1" si="22"/>
        <v>0</v>
      </c>
      <c r="S39" s="8">
        <f t="shared" ca="1" si="22"/>
        <v>1</v>
      </c>
      <c r="T39" s="8">
        <f t="shared" ca="1" si="22"/>
        <v>0</v>
      </c>
      <c r="U39" s="9">
        <f t="shared" ca="1" si="22"/>
        <v>1</v>
      </c>
      <c r="W39" s="33">
        <f t="shared" ca="1" si="2"/>
        <v>1</v>
      </c>
      <c r="X39" s="34">
        <f t="shared" ca="1" si="3"/>
        <v>1</v>
      </c>
      <c r="Y39" s="34">
        <f t="shared" ca="1" si="4"/>
        <v>1</v>
      </c>
      <c r="Z39" s="34">
        <f t="shared" ca="1" si="5"/>
        <v>1</v>
      </c>
      <c r="AA39" s="34">
        <f t="shared" ca="1" si="6"/>
        <v>1</v>
      </c>
      <c r="AB39" s="34">
        <f t="shared" ca="1" si="7"/>
        <v>1</v>
      </c>
      <c r="AC39" s="34">
        <f t="shared" ca="1" si="8"/>
        <v>1</v>
      </c>
      <c r="AD39" s="34">
        <f t="shared" ca="1" si="9"/>
        <v>1</v>
      </c>
      <c r="AE39" s="34">
        <f t="shared" ca="1" si="10"/>
        <v>0</v>
      </c>
      <c r="AF39" s="35">
        <f t="shared" ca="1" si="11"/>
        <v>1</v>
      </c>
      <c r="BL39" s="4"/>
      <c r="BM39" s="5"/>
      <c r="BN39" s="5"/>
      <c r="BO39" s="6"/>
      <c r="BP39" s="4">
        <v>1</v>
      </c>
      <c r="BQ39" s="5"/>
      <c r="BR39" s="5"/>
      <c r="BS39" s="6"/>
      <c r="BT39" s="4"/>
      <c r="BU39" s="5"/>
      <c r="BV39" s="5"/>
      <c r="BW39" s="6"/>
      <c r="BX39" s="4">
        <v>1</v>
      </c>
      <c r="BY39" s="5"/>
      <c r="BZ39" s="5"/>
      <c r="CA39" s="6"/>
    </row>
    <row r="40" spans="3:79" ht="15" customHeight="1" thickBot="1" x14ac:dyDescent="0.25">
      <c r="C40">
        <f>SUM(E40:N40)</f>
        <v>9</v>
      </c>
      <c r="D40" s="20">
        <v>1</v>
      </c>
      <c r="E40" s="17">
        <v>1</v>
      </c>
      <c r="F40" s="18">
        <v>1</v>
      </c>
      <c r="G40" s="18">
        <v>1</v>
      </c>
      <c r="H40" s="18">
        <v>1</v>
      </c>
      <c r="I40" s="18">
        <v>1</v>
      </c>
      <c r="J40" s="18">
        <v>1</v>
      </c>
      <c r="K40" s="18">
        <v>1</v>
      </c>
      <c r="L40" s="18">
        <v>1</v>
      </c>
      <c r="M40" s="18">
        <v>0</v>
      </c>
      <c r="N40" s="19">
        <v>1</v>
      </c>
      <c r="O40" s="5">
        <v>1</v>
      </c>
      <c r="R40" s="5"/>
      <c r="S40" s="5"/>
      <c r="T40" s="5"/>
      <c r="U40" s="5"/>
      <c r="W40" s="36">
        <f t="shared" ca="1" si="2"/>
        <v>1</v>
      </c>
      <c r="X40" s="37">
        <f t="shared" ca="1" si="3"/>
        <v>1</v>
      </c>
      <c r="Y40" s="37">
        <f t="shared" ca="1" si="4"/>
        <v>1</v>
      </c>
      <c r="Z40" s="37">
        <f t="shared" ca="1" si="5"/>
        <v>1</v>
      </c>
      <c r="AA40" s="37">
        <f t="shared" ca="1" si="6"/>
        <v>1</v>
      </c>
      <c r="AB40" s="37">
        <f t="shared" ca="1" si="7"/>
        <v>1</v>
      </c>
      <c r="AC40" s="37">
        <f t="shared" ca="1" si="8"/>
        <v>1</v>
      </c>
      <c r="AD40" s="37">
        <f t="shared" ca="1" si="9"/>
        <v>1</v>
      </c>
      <c r="AE40" s="37">
        <f t="shared" ca="1" si="10"/>
        <v>0</v>
      </c>
      <c r="AF40" s="38">
        <f t="shared" ca="1" si="11"/>
        <v>1</v>
      </c>
      <c r="BL40" s="7"/>
      <c r="BM40" s="8"/>
      <c r="BN40" s="8"/>
      <c r="BO40" s="9"/>
      <c r="BP40" s="7"/>
      <c r="BQ40" s="8"/>
      <c r="BR40" s="8"/>
      <c r="BS40" s="9"/>
      <c r="BT40" s="7"/>
      <c r="BU40" s="8"/>
      <c r="BV40" s="8"/>
      <c r="BW40" s="9"/>
      <c r="BX40" s="7"/>
      <c r="BY40" s="8"/>
      <c r="BZ40" s="8"/>
      <c r="CA40" s="9"/>
    </row>
    <row r="41" spans="3:79" x14ac:dyDescent="0.2"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1</v>
      </c>
      <c r="L41">
        <v>1</v>
      </c>
      <c r="M41">
        <v>1</v>
      </c>
      <c r="N41">
        <v>1</v>
      </c>
      <c r="R41" s="1">
        <f t="shared" ref="R41:U44" ca="1" si="23">OFFSET($E$21,ROW()-ROW($R$41)+$A$5,COLUMN()-COLUMN($R$41)+$A$9)+OFFSET(BL17, $A$2*4, MOD(($A$3+1),4)*4)</f>
        <v>0</v>
      </c>
      <c r="S41" s="2">
        <f t="shared" ca="1" si="23"/>
        <v>0</v>
      </c>
      <c r="T41" s="2">
        <f t="shared" ca="1" si="23"/>
        <v>0</v>
      </c>
      <c r="U41" s="3">
        <f t="shared" ca="1" si="23"/>
        <v>0</v>
      </c>
      <c r="BK41">
        <v>6</v>
      </c>
      <c r="BL41" s="1"/>
      <c r="BM41" s="2">
        <v>1</v>
      </c>
      <c r="BN41" s="2">
        <v>1</v>
      </c>
      <c r="BO41" s="3"/>
      <c r="BP41" s="1">
        <v>1</v>
      </c>
      <c r="BQ41" s="2"/>
      <c r="BR41" s="2"/>
      <c r="BS41" s="3"/>
      <c r="BT41" s="1"/>
      <c r="BU41" s="2">
        <v>1</v>
      </c>
      <c r="BV41" s="2">
        <v>1</v>
      </c>
      <c r="BW41" s="3"/>
      <c r="BX41" s="1">
        <v>1</v>
      </c>
      <c r="BY41" s="2"/>
      <c r="BZ41" s="2"/>
      <c r="CA41" s="3"/>
    </row>
    <row r="42" spans="3:79" x14ac:dyDescent="0.2">
      <c r="R42" s="4">
        <f t="shared" ca="1" si="23"/>
        <v>1</v>
      </c>
      <c r="S42" s="5">
        <f t="shared" ca="1" si="23"/>
        <v>1</v>
      </c>
      <c r="T42" s="5">
        <f t="shared" ca="1" si="23"/>
        <v>1</v>
      </c>
      <c r="U42" s="6">
        <f t="shared" ca="1" si="23"/>
        <v>1</v>
      </c>
      <c r="BL42" s="4">
        <v>1</v>
      </c>
      <c r="BM42" s="5">
        <v>1</v>
      </c>
      <c r="BN42" s="5"/>
      <c r="BO42" s="6"/>
      <c r="BP42" s="4">
        <v>1</v>
      </c>
      <c r="BQ42" s="5">
        <v>1</v>
      </c>
      <c r="BR42" s="5"/>
      <c r="BS42" s="6"/>
      <c r="BT42" s="4">
        <v>1</v>
      </c>
      <c r="BU42" s="5">
        <v>1</v>
      </c>
      <c r="BV42" s="5"/>
      <c r="BW42" s="6"/>
      <c r="BX42" s="4">
        <v>1</v>
      </c>
      <c r="BY42" s="5">
        <v>1</v>
      </c>
      <c r="BZ42" s="5"/>
      <c r="CA42" s="6"/>
    </row>
    <row r="43" spans="3:79" x14ac:dyDescent="0.2">
      <c r="R43" s="4">
        <f t="shared" ca="1" si="23"/>
        <v>0</v>
      </c>
      <c r="S43" s="5">
        <f t="shared" ca="1" si="23"/>
        <v>0</v>
      </c>
      <c r="T43" s="5">
        <f t="shared" ca="1" si="23"/>
        <v>0</v>
      </c>
      <c r="U43" s="6">
        <f t="shared" ca="1" si="23"/>
        <v>0</v>
      </c>
      <c r="Y43" s="46" t="str">
        <f ca="1">IF(A7&gt;0,"GAME OVER", "")</f>
        <v/>
      </c>
      <c r="Z43" s="46"/>
      <c r="AA43" s="46"/>
      <c r="AB43" s="46"/>
      <c r="AC43" s="46"/>
      <c r="AD43" s="46"/>
      <c r="BL43" s="4"/>
      <c r="BM43" s="5"/>
      <c r="BN43" s="5"/>
      <c r="BO43" s="6"/>
      <c r="BP43" s="4"/>
      <c r="BQ43" s="5">
        <v>1</v>
      </c>
      <c r="BR43" s="5"/>
      <c r="BS43" s="6"/>
      <c r="BT43" s="4"/>
      <c r="BU43" s="5"/>
      <c r="BV43" s="5"/>
      <c r="BW43" s="6"/>
      <c r="BX43" s="4"/>
      <c r="BY43" s="5">
        <v>1</v>
      </c>
      <c r="BZ43" s="5"/>
      <c r="CA43" s="6"/>
    </row>
    <row r="44" spans="3:79" x14ac:dyDescent="0.2">
      <c r="R44" s="7">
        <f t="shared" ca="1" si="23"/>
        <v>0</v>
      </c>
      <c r="S44" s="8">
        <f t="shared" ca="1" si="23"/>
        <v>0</v>
      </c>
      <c r="T44" s="8">
        <f t="shared" ca="1" si="23"/>
        <v>0</v>
      </c>
      <c r="U44" s="9">
        <f t="shared" ca="1" si="23"/>
        <v>0</v>
      </c>
      <c r="BL44" s="7"/>
      <c r="BM44" s="8"/>
      <c r="BN44" s="8"/>
      <c r="BO44" s="9"/>
      <c r="BP44" s="7"/>
      <c r="BQ44" s="8"/>
      <c r="BR44" s="8"/>
      <c r="BS44" s="9"/>
      <c r="BT44" s="7"/>
      <c r="BU44" s="8"/>
      <c r="BV44" s="8"/>
      <c r="BW44" s="9"/>
      <c r="BX44" s="7"/>
      <c r="BY44" s="8"/>
      <c r="BZ44" s="8"/>
      <c r="CA44" s="9"/>
    </row>
    <row r="45" spans="3:79" x14ac:dyDescent="0.2">
      <c r="BK45">
        <v>7</v>
      </c>
      <c r="BL45" s="1">
        <v>1</v>
      </c>
      <c r="BM45" s="2">
        <v>1</v>
      </c>
      <c r="BN45" s="2"/>
      <c r="BO45" s="3"/>
      <c r="BP45" s="1">
        <v>1</v>
      </c>
      <c r="BQ45" s="2">
        <v>1</v>
      </c>
      <c r="BR45" s="2"/>
      <c r="BS45" s="3"/>
      <c r="BT45" s="1">
        <v>1</v>
      </c>
      <c r="BU45" s="2">
        <v>1</v>
      </c>
      <c r="BV45" s="2"/>
      <c r="BW45" s="3"/>
      <c r="BX45" s="1">
        <v>1</v>
      </c>
      <c r="BY45" s="2">
        <v>1</v>
      </c>
      <c r="BZ45" s="2"/>
      <c r="CA45" s="3"/>
    </row>
    <row r="46" spans="3:79" x14ac:dyDescent="0.2">
      <c r="W46" s="48" t="s">
        <v>24</v>
      </c>
      <c r="X46" s="48"/>
      <c r="Y46" s="48"/>
      <c r="Z46" s="48"/>
      <c r="AA46" s="48"/>
      <c r="AB46" s="48"/>
      <c r="AC46" s="48"/>
      <c r="AD46" s="48"/>
      <c r="AE46" s="48"/>
      <c r="AF46" s="48"/>
      <c r="BL46" s="4">
        <v>1</v>
      </c>
      <c r="BM46" s="5">
        <v>1</v>
      </c>
      <c r="BN46" s="5"/>
      <c r="BO46" s="6"/>
      <c r="BP46" s="4">
        <v>1</v>
      </c>
      <c r="BQ46" s="5">
        <v>1</v>
      </c>
      <c r="BR46" s="5"/>
      <c r="BS46" s="6"/>
      <c r="BT46" s="4">
        <v>1</v>
      </c>
      <c r="BU46" s="5">
        <v>1</v>
      </c>
      <c r="BV46" s="5"/>
      <c r="BW46" s="6"/>
      <c r="BX46" s="4">
        <v>1</v>
      </c>
      <c r="BY46" s="5">
        <v>1</v>
      </c>
      <c r="BZ46" s="5"/>
      <c r="CA46" s="6"/>
    </row>
    <row r="47" spans="3:79" x14ac:dyDescent="0.2">
      <c r="BL47" s="4"/>
      <c r="BM47" s="5"/>
      <c r="BN47" s="5"/>
      <c r="BO47" s="6"/>
      <c r="BP47" s="4"/>
      <c r="BQ47" s="5"/>
      <c r="BR47" s="5"/>
      <c r="BS47" s="6"/>
      <c r="BT47" s="4"/>
      <c r="BU47" s="5"/>
      <c r="BV47" s="5"/>
      <c r="BW47" s="6"/>
      <c r="BX47" s="4"/>
      <c r="BY47" s="5"/>
      <c r="BZ47" s="5"/>
      <c r="CA47" s="6"/>
    </row>
    <row r="48" spans="3:79" x14ac:dyDescent="0.2">
      <c r="BL48" s="7"/>
      <c r="BM48" s="8"/>
      <c r="BN48" s="8"/>
      <c r="BO48" s="9"/>
      <c r="BP48" s="7"/>
      <c r="BQ48" s="8"/>
      <c r="BR48" s="8"/>
      <c r="BS48" s="9"/>
      <c r="BT48" s="7"/>
      <c r="BU48" s="8"/>
      <c r="BV48" s="8"/>
      <c r="BW48" s="9"/>
      <c r="BX48" s="7"/>
      <c r="BY48" s="8"/>
      <c r="BZ48" s="8"/>
      <c r="CA48" s="9"/>
    </row>
  </sheetData>
  <mergeCells count="5">
    <mergeCell ref="Y43:AD43"/>
    <mergeCell ref="AH25:AJ25"/>
    <mergeCell ref="W46:AF46"/>
    <mergeCell ref="X19:Y19"/>
    <mergeCell ref="AD19:AE19"/>
  </mergeCells>
  <phoneticPr fontId="1" type="noConversion"/>
  <conditionalFormatting sqref="A21:V48 AM21:XFD48">
    <cfRule type="cellIs" dxfId="3" priority="4" operator="equal">
      <formula>1</formula>
    </cfRule>
    <cfRule type="cellIs" dxfId="2" priority="5" operator="greaterThan">
      <formula>1</formula>
    </cfRule>
  </conditionalFormatting>
  <conditionalFormatting sqref="W21:AF40 AH21:AK24">
    <cfRule type="cellIs" dxfId="1" priority="2" operator="equal">
      <formula>1</formula>
    </cfRule>
  </conditionalFormatting>
  <conditionalFormatting sqref="W21:AF40">
    <cfRule type="cellIs" dxfId="0" priority="1" operator="greaterThan">
      <formula>1</formula>
    </cfRule>
  </conditionalFormatting>
  <hyperlinks>
    <hyperlink ref="X19:Y19" location="alpha!X19" display="开始" xr:uid="{117383C5-6AA3-4101-8D13-6E9CDC251520}"/>
    <hyperlink ref="AD19:AE19" location="alpha!AD19" display="暂停" xr:uid="{56035CE7-EC0D-4943-BC1E-9D158BB498D2}"/>
  </hyperlink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</vt:i4>
      </vt:variant>
    </vt:vector>
  </HeadingPairs>
  <TitlesOfParts>
    <vt:vector size="3" baseType="lpstr">
      <vt:lpstr>alpha</vt:lpstr>
      <vt:lpstr>screen</vt:lpstr>
      <vt:lpstr>staticscreen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Cloud</dc:creator>
  <cp:lastModifiedBy>Cloud</cp:lastModifiedBy>
  <dcterms:created xsi:type="dcterms:W3CDTF">2020-01-30T11:39:30Z</dcterms:created>
  <dcterms:modified xsi:type="dcterms:W3CDTF">2020-01-31T15:49:02Z</dcterms:modified>
</cp:coreProperties>
</file>