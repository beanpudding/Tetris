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myprojects\20200130\"/>
    </mc:Choice>
  </mc:AlternateContent>
  <xr:revisionPtr revIDLastSave="0" documentId="13_ncr:1_{5A7C6214-210C-411D-826A-6C8474C151E3}" xr6:coauthVersionLast="45" xr6:coauthVersionMax="45" xr10:uidLastSave="{00000000-0000-0000-0000-000000000000}"/>
  <bookViews>
    <workbookView xWindow="13155" yWindow="2280" windowWidth="11865" windowHeight="18045" xr2:uid="{EE47B03E-17DD-43DD-8978-4F8671F839E2}"/>
  </bookViews>
  <sheets>
    <sheet name="alpha" sheetId="1" r:id="rId1"/>
  </sheets>
  <definedNames>
    <definedName name="operationpanel">alpha!$AB$45</definedName>
    <definedName name="screen">alpha!$AA$21</definedName>
    <definedName name="staticscreen">alpha!$G$21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H19" i="1" l="1"/>
  <c r="AB19" i="1"/>
  <c r="AL25" i="1" l="1"/>
  <c r="Y44" i="1" l="1"/>
  <c r="X44" i="1"/>
  <c r="W44" i="1"/>
  <c r="V44" i="1"/>
  <c r="Y43" i="1"/>
  <c r="X43" i="1"/>
  <c r="W43" i="1"/>
  <c r="V43" i="1"/>
  <c r="Y42" i="1"/>
  <c r="X42" i="1"/>
  <c r="V42" i="1"/>
  <c r="Y41" i="1"/>
  <c r="X41" i="1"/>
  <c r="W41" i="1"/>
  <c r="V41" i="1"/>
  <c r="W42" i="1"/>
  <c r="AO24" i="1"/>
  <c r="AN24" i="1"/>
  <c r="AM24" i="1"/>
  <c r="AL24" i="1"/>
  <c r="AO23" i="1"/>
  <c r="AN23" i="1"/>
  <c r="AM23" i="1"/>
  <c r="AL23" i="1"/>
  <c r="AO22" i="1"/>
  <c r="AN22" i="1"/>
  <c r="AM22" i="1"/>
  <c r="AL22" i="1"/>
  <c r="AO21" i="1"/>
  <c r="AN21" i="1"/>
  <c r="AM21" i="1"/>
  <c r="AL21" i="1"/>
  <c r="C39" i="1" l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40" i="1"/>
  <c r="B1" i="1" l="1"/>
  <c r="A1" i="1" l="1"/>
  <c r="BD24" i="1"/>
  <c r="Y24" i="1" s="1"/>
  <c r="BC24" i="1"/>
  <c r="X24" i="1" s="1"/>
  <c r="BB24" i="1"/>
  <c r="W24" i="1" s="1"/>
  <c r="BA24" i="1"/>
  <c r="V24" i="1" s="1"/>
  <c r="BD23" i="1"/>
  <c r="Y23" i="1" s="1"/>
  <c r="BC23" i="1"/>
  <c r="X23" i="1" s="1"/>
  <c r="BB23" i="1"/>
  <c r="W23" i="1" s="1"/>
  <c r="BA23" i="1"/>
  <c r="V23" i="1" s="1"/>
  <c r="BD22" i="1"/>
  <c r="Y22" i="1" s="1"/>
  <c r="BC22" i="1"/>
  <c r="X22" i="1" s="1"/>
  <c r="BB22" i="1"/>
  <c r="W22" i="1" s="1"/>
  <c r="BA22" i="1"/>
  <c r="BD21" i="1"/>
  <c r="BC21" i="1"/>
  <c r="X21" i="1" s="1"/>
  <c r="BB21" i="1"/>
  <c r="W21" i="1" s="1"/>
  <c r="BA21" i="1"/>
  <c r="V21" i="1" s="1"/>
  <c r="AA21" i="1" l="1"/>
  <c r="AD21" i="1"/>
  <c r="Y21" i="1"/>
  <c r="AA22" i="1"/>
  <c r="V22" i="1"/>
  <c r="A14" i="1"/>
  <c r="Y32" i="1"/>
  <c r="Y37" i="1"/>
  <c r="W33" i="1"/>
  <c r="W38" i="1"/>
  <c r="X32" i="1"/>
  <c r="X37" i="1"/>
  <c r="V33" i="1"/>
  <c r="V38" i="1"/>
  <c r="X33" i="1"/>
  <c r="X38" i="1"/>
  <c r="Y33" i="1"/>
  <c r="Y38" i="1"/>
  <c r="V31" i="1"/>
  <c r="V36" i="1"/>
  <c r="V34" i="1"/>
  <c r="V39" i="1"/>
  <c r="W31" i="1"/>
  <c r="W36" i="1"/>
  <c r="W34" i="1"/>
  <c r="W39" i="1"/>
  <c r="X31" i="1"/>
  <c r="X36" i="1"/>
  <c r="X34" i="1"/>
  <c r="X39" i="1"/>
  <c r="Y31" i="1"/>
  <c r="Y36" i="1"/>
  <c r="Y34" i="1"/>
  <c r="Y39" i="1"/>
  <c r="V32" i="1"/>
  <c r="V37" i="1"/>
  <c r="W32" i="1"/>
  <c r="W37" i="1"/>
  <c r="V27" i="1"/>
  <c r="Y29" i="1"/>
  <c r="W26" i="1"/>
  <c r="Y26" i="1"/>
  <c r="X27" i="1"/>
  <c r="W28" i="1"/>
  <c r="X28" i="1"/>
  <c r="W29" i="1"/>
  <c r="Y27" i="1"/>
  <c r="V28" i="1"/>
  <c r="Y28" i="1"/>
  <c r="V26" i="1"/>
  <c r="V29" i="1"/>
  <c r="X26" i="1"/>
  <c r="X29" i="1"/>
  <c r="W27" i="1"/>
  <c r="AJ22" i="1"/>
  <c r="AJ21" i="1"/>
  <c r="AJ30" i="1"/>
  <c r="AJ29" i="1"/>
  <c r="AJ28" i="1"/>
  <c r="AJ27" i="1"/>
  <c r="AI21" i="1"/>
  <c r="AI22" i="1"/>
  <c r="AI40" i="1"/>
  <c r="AJ40" i="1"/>
  <c r="AI39" i="1"/>
  <c r="AJ39" i="1"/>
  <c r="AI38" i="1"/>
  <c r="AJ38" i="1"/>
  <c r="AI37" i="1"/>
  <c r="AJ37" i="1"/>
  <c r="AI36" i="1"/>
  <c r="AJ36" i="1"/>
  <c r="AJ35" i="1"/>
  <c r="AI35" i="1"/>
  <c r="AJ32" i="1"/>
  <c r="AJ33" i="1"/>
  <c r="AJ31" i="1"/>
  <c r="AJ34" i="1"/>
  <c r="AI34" i="1"/>
  <c r="AI33" i="1"/>
  <c r="AI32" i="1"/>
  <c r="AI31" i="1"/>
  <c r="AI28" i="1"/>
  <c r="AI29" i="1"/>
  <c r="AI27" i="1"/>
  <c r="AI30" i="1"/>
  <c r="AC21" i="1"/>
  <c r="AB21" i="1"/>
  <c r="AB22" i="1"/>
  <c r="AC22" i="1"/>
  <c r="AA40" i="1"/>
  <c r="AB40" i="1"/>
  <c r="AC40" i="1"/>
  <c r="AB39" i="1"/>
  <c r="AC39" i="1"/>
  <c r="AD39" i="1"/>
  <c r="AA38" i="1"/>
  <c r="AC38" i="1"/>
  <c r="AD38" i="1"/>
  <c r="AB37" i="1"/>
  <c r="AA37" i="1"/>
  <c r="AC37" i="1"/>
  <c r="AA36" i="1"/>
  <c r="AB36" i="1"/>
  <c r="AC36" i="1"/>
  <c r="AA35" i="1"/>
  <c r="AB35" i="1"/>
  <c r="AC35" i="1"/>
  <c r="AB34" i="1"/>
  <c r="AC34" i="1"/>
  <c r="AB33" i="1"/>
  <c r="AA33" i="1"/>
  <c r="AC33" i="1"/>
  <c r="AB32" i="1"/>
  <c r="AA32" i="1"/>
  <c r="AC32" i="1"/>
  <c r="AC29" i="1"/>
  <c r="AD22" i="1"/>
  <c r="AD36" i="1"/>
  <c r="AD35" i="1"/>
  <c r="AD32" i="1"/>
  <c r="AD31" i="1"/>
  <c r="AE40" i="1"/>
  <c r="AF40" i="1"/>
  <c r="AG40" i="1"/>
  <c r="AH40" i="1"/>
  <c r="AF39" i="1"/>
  <c r="AE39" i="1"/>
  <c r="AG39" i="1"/>
  <c r="AH39" i="1"/>
  <c r="AE38" i="1"/>
  <c r="AF38" i="1"/>
  <c r="AG38" i="1"/>
  <c r="AH38" i="1"/>
  <c r="AD40" i="1" s="1"/>
  <c r="AE37" i="1"/>
  <c r="AA39" i="1" s="1"/>
  <c r="AF37" i="1"/>
  <c r="AG37" i="1"/>
  <c r="AH37" i="1"/>
  <c r="AH36" i="1"/>
  <c r="AE36" i="1"/>
  <c r="AF36" i="1"/>
  <c r="AB38" i="1" s="1"/>
  <c r="AG36" i="1"/>
  <c r="AE35" i="1"/>
  <c r="AF35" i="1"/>
  <c r="AG35" i="1"/>
  <c r="AH35" i="1"/>
  <c r="AD37" i="1" s="1"/>
  <c r="AE34" i="1"/>
  <c r="AG34" i="1"/>
  <c r="AF34" i="1"/>
  <c r="AH34" i="1"/>
  <c r="AF33" i="1"/>
  <c r="AG33" i="1"/>
  <c r="AE33" i="1"/>
  <c r="AH33" i="1"/>
  <c r="AE32" i="1"/>
  <c r="AA34" i="1" s="1"/>
  <c r="AF32" i="1"/>
  <c r="AG32" i="1"/>
  <c r="AH32" i="1"/>
  <c r="AD34" i="1" s="1"/>
  <c r="AF31" i="1"/>
  <c r="AG31" i="1"/>
  <c r="AH31" i="1"/>
  <c r="AD33" i="1" s="1"/>
  <c r="AE31" i="1"/>
  <c r="AE30" i="1"/>
  <c r="AF30" i="1"/>
  <c r="AG30" i="1"/>
  <c r="AH30" i="1"/>
  <c r="AH29" i="1"/>
  <c r="AA31" i="1" s="1"/>
  <c r="AE29" i="1"/>
  <c r="AF29" i="1"/>
  <c r="AB31" i="1" s="1"/>
  <c r="AG29" i="1"/>
  <c r="AC31" i="1" s="1"/>
  <c r="AG28" i="1"/>
  <c r="AC30" i="1" s="1"/>
  <c r="AH28" i="1"/>
  <c r="AD30" i="1" s="1"/>
  <c r="AG27" i="1"/>
  <c r="AH27" i="1"/>
  <c r="AD29" i="1" s="1"/>
  <c r="AF22" i="1"/>
  <c r="AG22" i="1"/>
  <c r="AH22" i="1"/>
  <c r="AF21" i="1"/>
  <c r="AG21" i="1"/>
  <c r="AE21" i="1"/>
  <c r="AH21" i="1"/>
  <c r="AE22" i="1"/>
  <c r="AC23" i="1"/>
  <c r="AH25" i="1"/>
  <c r="AC24" i="1"/>
  <c r="AH23" i="1"/>
  <c r="AC25" i="1"/>
  <c r="AD25" i="1"/>
  <c r="AI25" i="1"/>
  <c r="AH24" i="1"/>
  <c r="AG25" i="1"/>
  <c r="AJ25" i="1"/>
  <c r="AD27" i="1"/>
  <c r="AD24" i="1"/>
  <c r="AI24" i="1"/>
  <c r="AG24" i="1"/>
  <c r="AJ24" i="1"/>
  <c r="AD23" i="1"/>
  <c r="AI23" i="1"/>
  <c r="AD26" i="1"/>
  <c r="AI26" i="1"/>
  <c r="AG23" i="1"/>
  <c r="AJ23" i="1"/>
  <c r="AF25" i="1" s="1"/>
  <c r="AG26" i="1"/>
  <c r="AJ26" i="1"/>
  <c r="AF28" i="1" s="1"/>
  <c r="AB30" i="1" s="1"/>
  <c r="AH26" i="1"/>
  <c r="AE25" i="1"/>
  <c r="AB24" i="1"/>
  <c r="AF24" i="1"/>
  <c r="AA24" i="1"/>
  <c r="AE24" i="1"/>
  <c r="AA23" i="1"/>
  <c r="AE23" i="1"/>
  <c r="AE26" i="1"/>
  <c r="AB23" i="1"/>
  <c r="AF23" i="1"/>
  <c r="AF26" i="1"/>
  <c r="A11" i="1" l="1"/>
  <c r="A10" i="1"/>
  <c r="A6" i="1"/>
  <c r="AB26" i="1"/>
  <c r="AC26" i="1"/>
  <c r="AA27" i="1"/>
  <c r="AB25" i="1"/>
  <c r="AC28" i="1"/>
  <c r="AA25" i="1"/>
  <c r="AA26" i="1"/>
  <c r="AA28" i="1"/>
  <c r="AD28" i="1"/>
  <c r="AC27" i="1"/>
  <c r="AF27" i="1"/>
  <c r="AB29" i="1" s="1"/>
  <c r="AB28" i="1"/>
  <c r="AE28" i="1"/>
  <c r="AA30" i="1" s="1"/>
  <c r="AB27" i="1"/>
  <c r="AE27" i="1"/>
  <c r="AA29" i="1" s="1"/>
  <c r="A7" i="1" l="1"/>
  <c r="B8" i="1" s="1"/>
  <c r="AC43" i="1" l="1"/>
</calcChain>
</file>

<file path=xl/sharedStrings.xml><?xml version="1.0" encoding="utf-8"?>
<sst xmlns="http://schemas.openxmlformats.org/spreadsheetml/2006/main" count="26" uniqueCount="26">
  <si>
    <t>状态</t>
    <phoneticPr fontId="1" type="noConversion"/>
  </si>
  <si>
    <t>当前形状</t>
    <phoneticPr fontId="1" type="noConversion"/>
  </si>
  <si>
    <t>当前旋转</t>
    <phoneticPr fontId="1" type="noConversion"/>
  </si>
  <si>
    <t>横向偏移</t>
    <phoneticPr fontId="1" type="noConversion"/>
  </si>
  <si>
    <t>掉落行数</t>
    <phoneticPr fontId="1" type="noConversion"/>
  </si>
  <si>
    <t>向左是否碰撞</t>
    <phoneticPr fontId="1" type="noConversion"/>
  </si>
  <si>
    <t>向下是否碰撞</t>
    <phoneticPr fontId="1" type="noConversion"/>
  </si>
  <si>
    <t>当前是否碰撞</t>
    <phoneticPr fontId="1" type="noConversion"/>
  </si>
  <si>
    <t>向右是否碰撞</t>
    <phoneticPr fontId="1" type="noConversion"/>
  </si>
  <si>
    <t>下一个旋转是否碰撞</t>
    <phoneticPr fontId="1" type="noConversion"/>
  </si>
  <si>
    <t>下一个的形状</t>
    <phoneticPr fontId="1" type="noConversion"/>
  </si>
  <si>
    <t>下一个的旋转</t>
    <phoneticPr fontId="1" type="noConversion"/>
  </si>
  <si>
    <t>下一个</t>
    <phoneticPr fontId="1" type="noConversion"/>
  </si>
  <si>
    <t>消除行</t>
    <phoneticPr fontId="1" type="noConversion"/>
  </si>
  <si>
    <t>消除行</t>
    <phoneticPr fontId="1" type="noConversion"/>
  </si>
  <si>
    <t>↑</t>
    <phoneticPr fontId="1" type="noConversion"/>
  </si>
  <si>
    <t>→</t>
    <phoneticPr fontId="1" type="noConversion"/>
  </si>
  <si>
    <t>←</t>
    <phoneticPr fontId="1" type="noConversion"/>
  </si>
  <si>
    <t>↓</t>
    <phoneticPr fontId="1" type="noConversion"/>
  </si>
  <si>
    <t>旋转</t>
    <phoneticPr fontId="1" type="noConversion"/>
  </si>
  <si>
    <t>速降</t>
    <phoneticPr fontId="1" type="noConversion"/>
  </si>
  <si>
    <t>左移</t>
    <phoneticPr fontId="1" type="noConversion"/>
  </si>
  <si>
    <t>右移</t>
    <phoneticPr fontId="1" type="noConversion"/>
  </si>
  <si>
    <t>CopyRight@2020 BY CLOUD</t>
    <phoneticPr fontId="1" type="noConversion"/>
  </si>
  <si>
    <t>暂停</t>
    <phoneticPr fontId="1" type="noConversion"/>
  </si>
  <si>
    <t>下降锁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</si>
</sst>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0" tint="-0.249977111117893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0" xfId="0" applyNumberFormat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4" fillId="0" borderId="0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1" applyAlignment="1">
      <alignment horizontal="center" vertical="center"/>
    </xf>
  </cellXfs>
  <cellStyles count="2">
    <cellStyle name="常规" xfId="0" builtinId="0"/>
    <cellStyle name="超链接" xfId="1" builtinId="8"/>
  </cellStyles>
  <dxfs count="4">
    <dxf>
      <fill>
        <patternFill>
          <bgColor theme="5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EB90E-0551-4764-B470-AB4F6FFCEB26}">
  <sheetPr codeName="Sheet1"/>
  <dimension ref="A1:CF52"/>
  <sheetViews>
    <sheetView showGridLines="0" tabSelected="1" topLeftCell="Z18" workbookViewId="0">
      <selection activeCell="CG31" sqref="CG31"/>
    </sheetView>
  </sheetViews>
  <sheetFormatPr defaultRowHeight="14.25" x14ac:dyDescent="0.2"/>
  <cols>
    <col min="1" max="2" width="9" hidden="1" customWidth="1"/>
    <col min="3" max="5" width="3" hidden="1" customWidth="1"/>
    <col min="6" max="17" width="2.5" hidden="1" customWidth="1"/>
    <col min="18" max="18" width="2.375" hidden="1" customWidth="1"/>
    <col min="19" max="19" width="2.5" hidden="1" customWidth="1"/>
    <col min="20" max="21" width="9" hidden="1" customWidth="1"/>
    <col min="22" max="25" width="2.5" style="20" hidden="1" customWidth="1"/>
    <col min="27" max="36" width="2.5" customWidth="1"/>
    <col min="38" max="42" width="2.5" customWidth="1"/>
    <col min="43" max="65" width="2.5" hidden="1" customWidth="1"/>
    <col min="66" max="67" width="9" hidden="1" customWidth="1"/>
    <col min="68" max="83" width="2.5" hidden="1" customWidth="1"/>
    <col min="84" max="84" width="9" hidden="1" customWidth="1"/>
  </cols>
  <sheetData>
    <row r="1" spans="1:65" hidden="1" x14ac:dyDescent="0.2">
      <c r="A1">
        <f ca="1">RANDBETWEEN(1, 7)</f>
        <v>3</v>
      </c>
      <c r="B1">
        <f ca="1">RANDBETWEEN(0, 3)</f>
        <v>0</v>
      </c>
      <c r="AA1" s="11"/>
      <c r="AR1" s="22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4"/>
    </row>
    <row r="2" spans="1:65" hidden="1" x14ac:dyDescent="0.2">
      <c r="A2">
        <v>1</v>
      </c>
      <c r="B2" t="s">
        <v>1</v>
      </c>
      <c r="AA2" s="11"/>
      <c r="AR2" s="25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6"/>
    </row>
    <row r="3" spans="1:65" hidden="1" x14ac:dyDescent="0.2">
      <c r="A3">
        <v>0</v>
      </c>
      <c r="B3" t="s">
        <v>2</v>
      </c>
      <c r="AA3" s="11"/>
      <c r="AR3" s="25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6"/>
    </row>
    <row r="4" spans="1:65" hidden="1" x14ac:dyDescent="0.2">
      <c r="A4" t="s">
        <v>24</v>
      </c>
      <c r="B4" t="s">
        <v>0</v>
      </c>
      <c r="AA4" s="11"/>
      <c r="AR4" s="25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6"/>
    </row>
    <row r="5" spans="1:65" hidden="1" x14ac:dyDescent="0.2">
      <c r="A5">
        <v>9</v>
      </c>
      <c r="B5" t="s">
        <v>4</v>
      </c>
      <c r="AA5" s="11"/>
      <c r="AR5" s="25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6"/>
    </row>
    <row r="6" spans="1:65" hidden="1" x14ac:dyDescent="0.2">
      <c r="A6">
        <f ca="1">COUNTIF(V26:Y29,2)</f>
        <v>0</v>
      </c>
      <c r="B6" t="s">
        <v>6</v>
      </c>
      <c r="AA6" s="11"/>
      <c r="AR6" s="25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6"/>
    </row>
    <row r="7" spans="1:65" hidden="1" x14ac:dyDescent="0.2">
      <c r="A7">
        <f ca="1">COUNTIF(V21:Y24,2)</f>
        <v>0</v>
      </c>
      <c r="B7" t="s">
        <v>7</v>
      </c>
      <c r="AA7" s="11"/>
      <c r="AR7" s="25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6"/>
    </row>
    <row r="8" spans="1:65" hidden="1" x14ac:dyDescent="0.2">
      <c r="B8" t="str">
        <f ca="1">IF(A7&gt;0,"GAME OVER", "")</f>
        <v/>
      </c>
      <c r="AA8" s="11"/>
      <c r="AR8" s="25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6"/>
    </row>
    <row r="9" spans="1:65" hidden="1" x14ac:dyDescent="0.2">
      <c r="A9">
        <v>4</v>
      </c>
      <c r="B9" t="s">
        <v>3</v>
      </c>
      <c r="AA9" s="11"/>
      <c r="AR9" s="25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6"/>
    </row>
    <row r="10" spans="1:65" hidden="1" x14ac:dyDescent="0.2">
      <c r="A10">
        <f ca="1">COUNTIF(V31:Y34,2)</f>
        <v>0</v>
      </c>
      <c r="B10" t="s">
        <v>5</v>
      </c>
      <c r="AA10" s="11"/>
      <c r="AR10" s="25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6"/>
    </row>
    <row r="11" spans="1:65" hidden="1" x14ac:dyDescent="0.2">
      <c r="A11">
        <f ca="1">COUNTIF(V36:Y39,2)</f>
        <v>0</v>
      </c>
      <c r="B11" t="s">
        <v>8</v>
      </c>
      <c r="AA11" s="11"/>
      <c r="AR11" s="25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6"/>
    </row>
    <row r="12" spans="1:65" hidden="1" x14ac:dyDescent="0.2">
      <c r="A12">
        <v>6</v>
      </c>
      <c r="B12" t="s">
        <v>10</v>
      </c>
      <c r="AA12" s="11"/>
      <c r="AR12" s="25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6"/>
    </row>
    <row r="13" spans="1:65" hidden="1" x14ac:dyDescent="0.2">
      <c r="A13">
        <v>0</v>
      </c>
      <c r="B13" t="s">
        <v>11</v>
      </c>
      <c r="AA13" s="11"/>
      <c r="AR13" s="25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6"/>
    </row>
    <row r="14" spans="1:65" hidden="1" x14ac:dyDescent="0.2">
      <c r="A14">
        <f ca="1">COUNTIF(V41:Y44,2)</f>
        <v>0</v>
      </c>
      <c r="B14" t="s">
        <v>9</v>
      </c>
      <c r="AA14" s="11"/>
      <c r="AR14" s="25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6"/>
    </row>
    <row r="15" spans="1:65" hidden="1" x14ac:dyDescent="0.2">
      <c r="A15">
        <v>31</v>
      </c>
      <c r="B15" t="s">
        <v>14</v>
      </c>
      <c r="AA15" s="11"/>
      <c r="AR15" s="25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6"/>
    </row>
    <row r="16" spans="1:65" hidden="1" x14ac:dyDescent="0.2">
      <c r="A16">
        <v>0</v>
      </c>
      <c r="B16" t="s">
        <v>25</v>
      </c>
      <c r="AA16" s="11"/>
      <c r="AR16" s="25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6"/>
    </row>
    <row r="17" spans="3:83" hidden="1" x14ac:dyDescent="0.2">
      <c r="AA17" s="11"/>
      <c r="AR17" s="25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6"/>
      <c r="BO17">
        <v>0</v>
      </c>
      <c r="BP17" s="1"/>
      <c r="BQ17" s="2"/>
      <c r="BR17" s="2"/>
      <c r="BS17" s="3"/>
      <c r="BT17" s="1"/>
      <c r="BU17" s="2"/>
      <c r="BV17" s="2"/>
      <c r="BW17" s="3"/>
      <c r="BX17" s="1"/>
      <c r="BY17" s="2"/>
      <c r="BZ17" s="2"/>
      <c r="CA17" s="3"/>
      <c r="CB17" s="1"/>
      <c r="CC17" s="2"/>
      <c r="CD17" s="2"/>
      <c r="CE17" s="3"/>
    </row>
    <row r="18" spans="3:83" x14ac:dyDescent="0.2">
      <c r="AA18" s="11"/>
      <c r="AR18" s="25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6"/>
      <c r="BP18" s="4"/>
      <c r="BQ18" s="5"/>
      <c r="BR18" s="5"/>
      <c r="BS18" s="6"/>
      <c r="BT18" s="4"/>
      <c r="BU18" s="5"/>
      <c r="BV18" s="5"/>
      <c r="BW18" s="6"/>
      <c r="BX18" s="4"/>
      <c r="BY18" s="5"/>
      <c r="BZ18" s="5"/>
      <c r="CA18" s="6"/>
      <c r="CB18" s="4"/>
      <c r="CC18" s="5"/>
      <c r="CD18" s="5"/>
      <c r="CE18" s="6"/>
    </row>
    <row r="19" spans="3:83" x14ac:dyDescent="0.2">
      <c r="AA19" s="11"/>
      <c r="AB19" s="49" t="str">
        <f>IF(A4="停止","开始","停止")</f>
        <v>停止</v>
      </c>
      <c r="AC19" s="49"/>
      <c r="AH19" s="49" t="str">
        <f>IF(A4="停止","",IF(A4="暂停","恢复","暂停"))</f>
        <v>恢复</v>
      </c>
      <c r="AI19" s="49"/>
      <c r="AR19" s="25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6"/>
      <c r="BP19" s="4"/>
      <c r="BQ19" s="5"/>
      <c r="BR19" s="5"/>
      <c r="BS19" s="6"/>
      <c r="BT19" s="4"/>
      <c r="BU19" s="5"/>
      <c r="BV19" s="5"/>
      <c r="BW19" s="6"/>
      <c r="BX19" s="4"/>
      <c r="BY19" s="5"/>
      <c r="BZ19" s="5"/>
      <c r="CA19" s="6"/>
      <c r="CB19" s="4"/>
      <c r="CC19" s="5"/>
      <c r="CD19" s="5"/>
      <c r="CE19" s="6"/>
    </row>
    <row r="20" spans="3:83" ht="15" thickBot="1" x14ac:dyDescent="0.25">
      <c r="AA20" s="11"/>
      <c r="AR20" s="25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6"/>
      <c r="BP20" s="7"/>
      <c r="BQ20" s="8"/>
      <c r="BR20" s="8"/>
      <c r="BS20" s="9"/>
      <c r="BT20" s="7"/>
      <c r="BU20" s="8"/>
      <c r="BV20" s="8"/>
      <c r="BW20" s="9"/>
      <c r="BX20" s="7"/>
      <c r="BY20" s="8"/>
      <c r="BZ20" s="8"/>
      <c r="CA20" s="9"/>
      <c r="CB20" s="7"/>
      <c r="CC20" s="8"/>
      <c r="CD20" s="8"/>
      <c r="CE20" s="9"/>
    </row>
    <row r="21" spans="3:83" ht="15" customHeight="1" x14ac:dyDescent="0.2">
      <c r="C21">
        <f t="shared" ref="C21:C39" si="0">SUM(G21:P21)</f>
        <v>0</v>
      </c>
      <c r="F21" s="20">
        <v>1</v>
      </c>
      <c r="G21" s="12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  <c r="P21" s="14">
        <v>0</v>
      </c>
      <c r="Q21" s="5">
        <v>1</v>
      </c>
      <c r="R21" s="5"/>
      <c r="S21" s="5"/>
      <c r="V21" s="1">
        <f ca="1">OFFSET($G$21,ROW()-ROW($V$21)+$A$5,COLUMN()-COLUMN($V$21)+$A$9)+BA21</f>
        <v>0</v>
      </c>
      <c r="W21" s="2">
        <f t="shared" ref="W21" ca="1" si="1">OFFSET($G$21,ROW()-ROW($V$21)+$A$5,COLUMN()-COLUMN($V$21)+$A$9)+BB21</f>
        <v>1</v>
      </c>
      <c r="X21" s="2">
        <f t="shared" ref="X21:X24" ca="1" si="2">OFFSET($G$21,ROW()-ROW($V$21)+$A$5,COLUMN()-COLUMN($V$21)+$A$9)+BC21</f>
        <v>0</v>
      </c>
      <c r="Y21" s="3">
        <f t="shared" ref="Y21:Y24" ca="1" si="3">OFFSET($G$21,ROW()-ROW($V$21)+$A$5,COLUMN()-COLUMN($V$21)+$A$9)+BD21</f>
        <v>0</v>
      </c>
      <c r="AA21" s="30">
        <f ca="1">OFFSET($BA$21,ROW()-ROW($AA$21)-$A$5,COLUMN()-COLUMN($AA$21)-$A$9)+G21</f>
        <v>0</v>
      </c>
      <c r="AB21" s="31">
        <f t="shared" ref="AB21:AB40" ca="1" si="4">OFFSET($BA$21,ROW()-ROW($AA$21)-$A$5,COLUMN()-COLUMN($AA$21)-$A$9)+H21</f>
        <v>0</v>
      </c>
      <c r="AC21" s="31">
        <f t="shared" ref="AC21:AC40" ca="1" si="5">OFFSET($BA$21,ROW()-ROW($AA$21)-$A$5,COLUMN()-COLUMN($AA$21)-$A$9)+I21</f>
        <v>0</v>
      </c>
      <c r="AD21" s="31">
        <f ca="1">OFFSET($BA$21,ROW()-ROW($AA$21)-$A$5,COLUMN()-COLUMN($AA$21)-$A$9)+J21</f>
        <v>0</v>
      </c>
      <c r="AE21" s="31">
        <f t="shared" ref="AE21:AE40" ca="1" si="6">OFFSET($BA$21,ROW()-ROW($AA$21)-$A$5,COLUMN()-COLUMN($AA$21)-$A$9)+K21</f>
        <v>0</v>
      </c>
      <c r="AF21" s="31">
        <f t="shared" ref="AF21:AF40" ca="1" si="7">OFFSET($BA$21,ROW()-ROW($AA$21)-$A$5,COLUMN()-COLUMN($AA$21)-$A$9)+L21</f>
        <v>0</v>
      </c>
      <c r="AG21" s="31">
        <f t="shared" ref="AG21:AG40" ca="1" si="8">OFFSET($BA$21,ROW()-ROW($AA$21)-$A$5,COLUMN()-COLUMN($AA$21)-$A$9)+M21</f>
        <v>0</v>
      </c>
      <c r="AH21" s="31">
        <f t="shared" ref="AH21:AH40" ca="1" si="9">OFFSET($BA$21,ROW()-ROW($AA$21)-$A$5,COLUMN()-COLUMN($AA$21)-$A$9)+N21</f>
        <v>0</v>
      </c>
      <c r="AI21" s="31">
        <f t="shared" ref="AI21:AI40" ca="1" si="10">OFFSET($BA$21,ROW()-ROW($AA$21)-$A$5,COLUMN()-COLUMN($AA$21)-$A$9)+O21</f>
        <v>0</v>
      </c>
      <c r="AJ21" s="32">
        <f t="shared" ref="AJ21:AJ40" ca="1" si="11">OFFSET($BA$21,ROW()-ROW($AA$21)-$A$5,COLUMN()-COLUMN($AA$21)-$A$9)+P21</f>
        <v>0</v>
      </c>
      <c r="AK21" s="40" t="s">
        <v>12</v>
      </c>
      <c r="AL21" s="39">
        <f ca="1">OFFSET(BP17, $A$12*4, $A$13*4)</f>
        <v>0</v>
      </c>
      <c r="AM21" s="39">
        <f t="shared" ref="AM21:AO21" ca="1" si="12">OFFSET(BQ17, $A$12*4, $A$13*4)</f>
        <v>1</v>
      </c>
      <c r="AN21" s="39">
        <f t="shared" ca="1" si="12"/>
        <v>1</v>
      </c>
      <c r="AO21" s="39">
        <f t="shared" ca="1" si="12"/>
        <v>0</v>
      </c>
      <c r="AR21" s="25"/>
      <c r="AS21" s="21"/>
      <c r="AT21" s="21"/>
      <c r="AU21" s="21"/>
      <c r="AV21" s="21"/>
      <c r="AW21" s="21"/>
      <c r="AX21" s="21"/>
      <c r="AY21" s="21"/>
      <c r="AZ21" s="21"/>
      <c r="BA21" s="1">
        <f ca="1">OFFSET(BP17, $A$2*4, $A$3*4)</f>
        <v>0</v>
      </c>
      <c r="BB21" s="2">
        <f t="shared" ref="BB21:BD21" ca="1" si="13">OFFSET(BQ17, $A$2*4, $A$3*4)</f>
        <v>1</v>
      </c>
      <c r="BC21" s="2">
        <f t="shared" ca="1" si="13"/>
        <v>0</v>
      </c>
      <c r="BD21" s="3">
        <f t="shared" ca="1" si="13"/>
        <v>0</v>
      </c>
      <c r="BE21" s="21"/>
      <c r="BF21" s="21"/>
      <c r="BG21" s="21"/>
      <c r="BH21" s="21"/>
      <c r="BI21" s="21"/>
      <c r="BJ21" s="21"/>
      <c r="BK21" s="21"/>
      <c r="BL21" s="21"/>
      <c r="BM21" s="26"/>
      <c r="BO21">
        <v>1</v>
      </c>
      <c r="BP21" s="1"/>
      <c r="BQ21" s="2">
        <v>1</v>
      </c>
      <c r="BR21" s="2"/>
      <c r="BS21" s="3"/>
      <c r="BT21" s="1"/>
      <c r="BU21" s="2"/>
      <c r="BV21" s="2"/>
      <c r="BW21" s="3"/>
      <c r="BX21" s="1"/>
      <c r="BY21" s="2">
        <v>1</v>
      </c>
      <c r="BZ21" s="2"/>
      <c r="CA21" s="3"/>
      <c r="CB21" s="1"/>
      <c r="CC21" s="2"/>
      <c r="CD21" s="2"/>
      <c r="CE21" s="3"/>
    </row>
    <row r="22" spans="3:83" ht="15" customHeight="1" x14ac:dyDescent="0.2">
      <c r="C22">
        <f t="shared" si="0"/>
        <v>0</v>
      </c>
      <c r="F22" s="20">
        <v>1</v>
      </c>
      <c r="G22" s="16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15">
        <v>0</v>
      </c>
      <c r="Q22" s="5">
        <v>1</v>
      </c>
      <c r="R22" s="5"/>
      <c r="S22" s="5"/>
      <c r="V22" s="4">
        <f t="shared" ref="V22:V24" ca="1" si="14">OFFSET($G$21,ROW()-ROW($V$21)+$A$5,COLUMN()-COLUMN($V$21)+$A$9)+BA22</f>
        <v>0</v>
      </c>
      <c r="W22" s="5">
        <f ca="1">OFFSET($G$21,ROW()-ROW($V$21)+$A$5,COLUMN()-COLUMN($V$21)+$A$9)+BB22</f>
        <v>1</v>
      </c>
      <c r="X22" s="5">
        <f t="shared" ca="1" si="2"/>
        <v>0</v>
      </c>
      <c r="Y22" s="6">
        <f t="shared" ca="1" si="3"/>
        <v>0</v>
      </c>
      <c r="AA22" s="33">
        <f ca="1">OFFSET($BA$21,ROW()-ROW($AA$21)-$A$5,COLUMN()-COLUMN($AA$21)-$A$9)+G22</f>
        <v>0</v>
      </c>
      <c r="AB22" s="34">
        <f t="shared" ca="1" si="4"/>
        <v>0</v>
      </c>
      <c r="AC22" s="34">
        <f t="shared" ca="1" si="5"/>
        <v>0</v>
      </c>
      <c r="AD22" s="34">
        <f t="shared" ref="AD22:AD40" ca="1" si="15">OFFSET($BA$21,ROW()-ROW($AA$21)-$A$5,COLUMN()-COLUMN($AA$21)-$A$9)+J22</f>
        <v>0</v>
      </c>
      <c r="AE22" s="34">
        <f t="shared" ca="1" si="6"/>
        <v>0</v>
      </c>
      <c r="AF22" s="34">
        <f t="shared" ca="1" si="7"/>
        <v>0</v>
      </c>
      <c r="AG22" s="34">
        <f t="shared" ca="1" si="8"/>
        <v>0</v>
      </c>
      <c r="AH22" s="34">
        <f t="shared" ca="1" si="9"/>
        <v>0</v>
      </c>
      <c r="AI22" s="34">
        <f t="shared" ca="1" si="10"/>
        <v>0</v>
      </c>
      <c r="AJ22" s="35">
        <f t="shared" ca="1" si="11"/>
        <v>0</v>
      </c>
      <c r="AL22" s="39">
        <f t="shared" ref="AL22:AO22" ca="1" si="16">OFFSET(BP18, $A$12*4, $A$13*4)</f>
        <v>1</v>
      </c>
      <c r="AM22" s="39">
        <f t="shared" ca="1" si="16"/>
        <v>1</v>
      </c>
      <c r="AN22" s="39">
        <f t="shared" ca="1" si="16"/>
        <v>0</v>
      </c>
      <c r="AO22" s="39">
        <f t="shared" ca="1" si="16"/>
        <v>0</v>
      </c>
      <c r="AR22" s="25"/>
      <c r="AS22" s="21"/>
      <c r="AT22" s="21"/>
      <c r="AU22" s="21"/>
      <c r="AV22" s="21"/>
      <c r="AW22" s="21"/>
      <c r="AX22" s="21"/>
      <c r="AY22" s="21"/>
      <c r="AZ22" s="21"/>
      <c r="BA22" s="4">
        <f t="shared" ref="BA22:BD22" ca="1" si="17">OFFSET(BP18, $A$2*4, $A$3*4)</f>
        <v>0</v>
      </c>
      <c r="BB22" s="5">
        <f t="shared" ca="1" si="17"/>
        <v>1</v>
      </c>
      <c r="BC22" s="5">
        <f t="shared" ca="1" si="17"/>
        <v>0</v>
      </c>
      <c r="BD22" s="6">
        <f t="shared" ca="1" si="17"/>
        <v>0</v>
      </c>
      <c r="BE22" s="21"/>
      <c r="BF22" s="21"/>
      <c r="BG22" s="21"/>
      <c r="BH22" s="21"/>
      <c r="BI22" s="21"/>
      <c r="BJ22" s="21"/>
      <c r="BK22" s="21"/>
      <c r="BL22" s="21"/>
      <c r="BM22" s="26"/>
      <c r="BP22" s="4"/>
      <c r="BQ22" s="5">
        <v>1</v>
      </c>
      <c r="BR22" s="5"/>
      <c r="BS22" s="6"/>
      <c r="BT22" s="4">
        <v>1</v>
      </c>
      <c r="BU22" s="5">
        <v>1</v>
      </c>
      <c r="BV22" s="5">
        <v>1</v>
      </c>
      <c r="BW22" s="6">
        <v>1</v>
      </c>
      <c r="BX22" s="4"/>
      <c r="BY22" s="5">
        <v>1</v>
      </c>
      <c r="BZ22" s="5"/>
      <c r="CA22" s="6"/>
      <c r="CB22" s="4">
        <v>1</v>
      </c>
      <c r="CC22" s="5">
        <v>1</v>
      </c>
      <c r="CD22" s="5">
        <v>1</v>
      </c>
      <c r="CE22" s="6">
        <v>1</v>
      </c>
    </row>
    <row r="23" spans="3:83" ht="15" customHeight="1" x14ac:dyDescent="0.2">
      <c r="C23">
        <f t="shared" si="0"/>
        <v>0</v>
      </c>
      <c r="F23" s="20">
        <v>1</v>
      </c>
      <c r="G23" s="16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15">
        <v>0</v>
      </c>
      <c r="Q23" s="5">
        <v>1</v>
      </c>
      <c r="R23" s="5"/>
      <c r="S23" s="5"/>
      <c r="V23" s="4">
        <f t="shared" ca="1" si="14"/>
        <v>0</v>
      </c>
      <c r="W23" s="5">
        <f t="shared" ref="W23:W24" ca="1" si="18">OFFSET($G$21,ROW()-ROW($V$21)+$A$5,COLUMN()-COLUMN($V$21)+$A$9)+BB23</f>
        <v>1</v>
      </c>
      <c r="X23" s="5">
        <f t="shared" ca="1" si="2"/>
        <v>0</v>
      </c>
      <c r="Y23" s="6">
        <f t="shared" ca="1" si="3"/>
        <v>0</v>
      </c>
      <c r="AA23" s="33">
        <f t="shared" ref="AA23:AA40" ca="1" si="19">OFFSET($BA$21,ROW()-ROW($AA$21)-$A$5,COLUMN()-COLUMN($AA$21)-$A$9)+G23</f>
        <v>0</v>
      </c>
      <c r="AB23" s="34">
        <f t="shared" ca="1" si="4"/>
        <v>0</v>
      </c>
      <c r="AC23" s="34">
        <f t="shared" ca="1" si="5"/>
        <v>0</v>
      </c>
      <c r="AD23" s="34">
        <f t="shared" ca="1" si="15"/>
        <v>0</v>
      </c>
      <c r="AE23" s="34">
        <f t="shared" ca="1" si="6"/>
        <v>0</v>
      </c>
      <c r="AF23" s="34">
        <f t="shared" ca="1" si="7"/>
        <v>0</v>
      </c>
      <c r="AG23" s="34">
        <f t="shared" ca="1" si="8"/>
        <v>0</v>
      </c>
      <c r="AH23" s="34">
        <f t="shared" ca="1" si="9"/>
        <v>0</v>
      </c>
      <c r="AI23" s="34">
        <f t="shared" ca="1" si="10"/>
        <v>0</v>
      </c>
      <c r="AJ23" s="35">
        <f t="shared" ca="1" si="11"/>
        <v>0</v>
      </c>
      <c r="AL23" s="39">
        <f t="shared" ref="AL23:AO23" ca="1" si="20">OFFSET(BP19, $A$12*4, $A$13*4)</f>
        <v>0</v>
      </c>
      <c r="AM23" s="39">
        <f t="shared" ca="1" si="20"/>
        <v>0</v>
      </c>
      <c r="AN23" s="39">
        <f t="shared" ca="1" si="20"/>
        <v>0</v>
      </c>
      <c r="AO23" s="39">
        <f t="shared" ca="1" si="20"/>
        <v>0</v>
      </c>
      <c r="AR23" s="25"/>
      <c r="AS23" s="21"/>
      <c r="AT23" s="21"/>
      <c r="AU23" s="21"/>
      <c r="AV23" s="21"/>
      <c r="AW23" s="21"/>
      <c r="AX23" s="21"/>
      <c r="AY23" s="21"/>
      <c r="AZ23" s="21"/>
      <c r="BA23" s="4">
        <f t="shared" ref="BA23:BD23" ca="1" si="21">OFFSET(BP19, $A$2*4, $A$3*4)</f>
        <v>0</v>
      </c>
      <c r="BB23" s="5">
        <f t="shared" ca="1" si="21"/>
        <v>1</v>
      </c>
      <c r="BC23" s="5">
        <f t="shared" ca="1" si="21"/>
        <v>0</v>
      </c>
      <c r="BD23" s="6">
        <f t="shared" ca="1" si="21"/>
        <v>0</v>
      </c>
      <c r="BE23" s="21"/>
      <c r="BF23" s="21"/>
      <c r="BG23" s="21"/>
      <c r="BH23" s="21"/>
      <c r="BI23" s="21"/>
      <c r="BJ23" s="21"/>
      <c r="BK23" s="21"/>
      <c r="BL23" s="21"/>
      <c r="BM23" s="26"/>
      <c r="BP23" s="4"/>
      <c r="BQ23" s="5">
        <v>1</v>
      </c>
      <c r="BR23" s="5"/>
      <c r="BS23" s="6"/>
      <c r="BT23" s="4"/>
      <c r="BU23" s="5"/>
      <c r="BV23" s="5"/>
      <c r="BW23" s="6"/>
      <c r="BX23" s="4"/>
      <c r="BY23" s="5">
        <v>1</v>
      </c>
      <c r="BZ23" s="5"/>
      <c r="CA23" s="6"/>
      <c r="CB23" s="4"/>
      <c r="CC23" s="5"/>
      <c r="CD23" s="5"/>
      <c r="CE23" s="6"/>
    </row>
    <row r="24" spans="3:83" ht="15" customHeight="1" x14ac:dyDescent="0.2">
      <c r="C24">
        <f t="shared" si="0"/>
        <v>0</v>
      </c>
      <c r="F24" s="20">
        <v>1</v>
      </c>
      <c r="G24" s="16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15">
        <v>0</v>
      </c>
      <c r="Q24" s="5">
        <v>1</v>
      </c>
      <c r="R24" s="5"/>
      <c r="S24" s="5"/>
      <c r="V24" s="7">
        <f t="shared" ca="1" si="14"/>
        <v>0</v>
      </c>
      <c r="W24" s="8">
        <f t="shared" ca="1" si="18"/>
        <v>1</v>
      </c>
      <c r="X24" s="8">
        <f t="shared" ca="1" si="2"/>
        <v>0</v>
      </c>
      <c r="Y24" s="9">
        <f t="shared" ca="1" si="3"/>
        <v>0</v>
      </c>
      <c r="AA24" s="33">
        <f t="shared" ca="1" si="19"/>
        <v>0</v>
      </c>
      <c r="AB24" s="34">
        <f t="shared" ca="1" si="4"/>
        <v>0</v>
      </c>
      <c r="AC24" s="34">
        <f t="shared" ca="1" si="5"/>
        <v>0</v>
      </c>
      <c r="AD24" s="34">
        <f t="shared" ca="1" si="15"/>
        <v>0</v>
      </c>
      <c r="AE24" s="34">
        <f t="shared" ca="1" si="6"/>
        <v>0</v>
      </c>
      <c r="AF24" s="34">
        <f t="shared" ca="1" si="7"/>
        <v>0</v>
      </c>
      <c r="AG24" s="34">
        <f t="shared" ca="1" si="8"/>
        <v>0</v>
      </c>
      <c r="AH24" s="34">
        <f t="shared" ca="1" si="9"/>
        <v>0</v>
      </c>
      <c r="AI24" s="34">
        <f t="shared" ca="1" si="10"/>
        <v>0</v>
      </c>
      <c r="AJ24" s="35">
        <f t="shared" ca="1" si="11"/>
        <v>0</v>
      </c>
      <c r="AL24" s="39">
        <f t="shared" ref="AL24:AO24" ca="1" si="22">OFFSET(BP20, $A$12*4, $A$13*4)</f>
        <v>0</v>
      </c>
      <c r="AM24" s="39">
        <f t="shared" ca="1" si="22"/>
        <v>0</v>
      </c>
      <c r="AN24" s="39">
        <f t="shared" ca="1" si="22"/>
        <v>0</v>
      </c>
      <c r="AO24" s="39">
        <f t="shared" ca="1" si="22"/>
        <v>0</v>
      </c>
      <c r="AR24" s="27"/>
      <c r="AS24" s="28"/>
      <c r="AT24" s="28"/>
      <c r="AU24" s="28"/>
      <c r="AV24" s="28"/>
      <c r="AW24" s="28"/>
      <c r="AX24" s="28"/>
      <c r="AY24" s="28"/>
      <c r="AZ24" s="28"/>
      <c r="BA24" s="7">
        <f t="shared" ref="BA24:BD24" ca="1" si="23">OFFSET(BP20, $A$2*4, $A$3*4)</f>
        <v>0</v>
      </c>
      <c r="BB24" s="8">
        <f t="shared" ca="1" si="23"/>
        <v>1</v>
      </c>
      <c r="BC24" s="8">
        <f t="shared" ca="1" si="23"/>
        <v>0</v>
      </c>
      <c r="BD24" s="9">
        <f t="shared" ca="1" si="23"/>
        <v>0</v>
      </c>
      <c r="BE24" s="28"/>
      <c r="BF24" s="28"/>
      <c r="BG24" s="28"/>
      <c r="BH24" s="28"/>
      <c r="BI24" s="28"/>
      <c r="BJ24" s="28"/>
      <c r="BK24" s="28"/>
      <c r="BL24" s="28"/>
      <c r="BM24" s="29"/>
      <c r="BP24" s="7"/>
      <c r="BQ24" s="8">
        <v>1</v>
      </c>
      <c r="BR24" s="8"/>
      <c r="BS24" s="9"/>
      <c r="BT24" s="7"/>
      <c r="BU24" s="8"/>
      <c r="BV24" s="8"/>
      <c r="BW24" s="9"/>
      <c r="BX24" s="7"/>
      <c r="BY24" s="8">
        <v>1</v>
      </c>
      <c r="BZ24" s="8"/>
      <c r="CA24" s="9"/>
      <c r="CB24" s="7"/>
      <c r="CC24" s="8"/>
      <c r="CD24" s="8"/>
      <c r="CE24" s="9"/>
    </row>
    <row r="25" spans="3:83" ht="15" customHeight="1" x14ac:dyDescent="0.2">
      <c r="C25">
        <f t="shared" si="0"/>
        <v>0</v>
      </c>
      <c r="F25" s="20">
        <v>1</v>
      </c>
      <c r="G25" s="16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15">
        <v>0</v>
      </c>
      <c r="Q25" s="5">
        <v>1</v>
      </c>
      <c r="R25" s="5"/>
      <c r="S25" s="5"/>
      <c r="AA25" s="33">
        <f t="shared" ca="1" si="19"/>
        <v>0</v>
      </c>
      <c r="AB25" s="34">
        <f t="shared" ca="1" si="4"/>
        <v>0</v>
      </c>
      <c r="AC25" s="34">
        <f t="shared" ca="1" si="5"/>
        <v>0</v>
      </c>
      <c r="AD25" s="34">
        <f t="shared" ca="1" si="15"/>
        <v>0</v>
      </c>
      <c r="AE25" s="34">
        <f t="shared" ca="1" si="6"/>
        <v>0</v>
      </c>
      <c r="AF25" s="34">
        <f t="shared" ca="1" si="7"/>
        <v>0</v>
      </c>
      <c r="AG25" s="34">
        <f t="shared" ca="1" si="8"/>
        <v>0</v>
      </c>
      <c r="AH25" s="34">
        <f t="shared" ca="1" si="9"/>
        <v>0</v>
      </c>
      <c r="AI25" s="34">
        <f t="shared" ca="1" si="10"/>
        <v>0</v>
      </c>
      <c r="AJ25" s="35">
        <f t="shared" ca="1" si="11"/>
        <v>0</v>
      </c>
      <c r="AK25" s="41" t="s">
        <v>13</v>
      </c>
      <c r="AL25" s="47">
        <f>A15</f>
        <v>31</v>
      </c>
      <c r="AM25" s="47"/>
      <c r="AN25" s="47"/>
      <c r="BO25">
        <v>2</v>
      </c>
      <c r="BP25" s="1"/>
      <c r="BQ25" s="2">
        <v>1</v>
      </c>
      <c r="BR25" s="2"/>
      <c r="BS25" s="3"/>
      <c r="BT25" s="1">
        <v>1</v>
      </c>
      <c r="BU25" s="2"/>
      <c r="BV25" s="2"/>
      <c r="BW25" s="3"/>
      <c r="BX25" s="1">
        <v>1</v>
      </c>
      <c r="BY25" s="2">
        <v>1</v>
      </c>
      <c r="BZ25" s="2"/>
      <c r="CA25" s="3"/>
      <c r="CB25" s="1">
        <v>1</v>
      </c>
      <c r="CC25" s="2">
        <v>1</v>
      </c>
      <c r="CD25" s="2">
        <v>1</v>
      </c>
      <c r="CE25" s="3"/>
    </row>
    <row r="26" spans="3:83" ht="15" customHeight="1" x14ac:dyDescent="0.2">
      <c r="C26">
        <f t="shared" si="0"/>
        <v>0</v>
      </c>
      <c r="F26" s="20">
        <v>1</v>
      </c>
      <c r="G26" s="16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15">
        <v>0</v>
      </c>
      <c r="Q26" s="5">
        <v>1</v>
      </c>
      <c r="R26" s="5"/>
      <c r="S26" s="5"/>
      <c r="V26" s="1">
        <f t="shared" ref="V26:Y29" ca="1" si="24">OFFSET($G$21,ROW()-ROW($V$26)+$A$5+1,COLUMN()-COLUMN($V$26)+$A$9)+BA21</f>
        <v>0</v>
      </c>
      <c r="W26" s="2">
        <f t="shared" ca="1" si="24"/>
        <v>1</v>
      </c>
      <c r="X26" s="2">
        <f t="shared" ca="1" si="24"/>
        <v>0</v>
      </c>
      <c r="Y26" s="3">
        <f t="shared" ca="1" si="24"/>
        <v>0</v>
      </c>
      <c r="AA26" s="33">
        <f t="shared" ca="1" si="19"/>
        <v>0</v>
      </c>
      <c r="AB26" s="34">
        <f t="shared" ca="1" si="4"/>
        <v>0</v>
      </c>
      <c r="AC26" s="34">
        <f t="shared" ca="1" si="5"/>
        <v>0</v>
      </c>
      <c r="AD26" s="34">
        <f t="shared" ca="1" si="15"/>
        <v>0</v>
      </c>
      <c r="AE26" s="34">
        <f t="shared" ca="1" si="6"/>
        <v>0</v>
      </c>
      <c r="AF26" s="34">
        <f t="shared" ca="1" si="7"/>
        <v>0</v>
      </c>
      <c r="AG26" s="34">
        <f t="shared" ca="1" si="8"/>
        <v>0</v>
      </c>
      <c r="AH26" s="34">
        <f t="shared" ca="1" si="9"/>
        <v>0</v>
      </c>
      <c r="AI26" s="34">
        <f t="shared" ca="1" si="10"/>
        <v>0</v>
      </c>
      <c r="AJ26" s="35">
        <f t="shared" ca="1" si="11"/>
        <v>0</v>
      </c>
      <c r="BP26" s="4"/>
      <c r="BQ26" s="10">
        <v>1</v>
      </c>
      <c r="BR26" s="5"/>
      <c r="BS26" s="6"/>
      <c r="BT26" s="4">
        <v>1</v>
      </c>
      <c r="BU26" s="5">
        <v>1</v>
      </c>
      <c r="BV26" s="5">
        <v>1</v>
      </c>
      <c r="BW26" s="6"/>
      <c r="BX26" s="4">
        <v>1</v>
      </c>
      <c r="BY26" s="5"/>
      <c r="BZ26" s="5"/>
      <c r="CA26" s="6"/>
      <c r="CB26" s="4"/>
      <c r="CC26" s="5"/>
      <c r="CD26" s="5">
        <v>1</v>
      </c>
      <c r="CE26" s="6"/>
    </row>
    <row r="27" spans="3:83" ht="15" customHeight="1" x14ac:dyDescent="0.2">
      <c r="C27">
        <f t="shared" si="0"/>
        <v>0</v>
      </c>
      <c r="F27" s="20">
        <v>1</v>
      </c>
      <c r="G27" s="16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15">
        <v>0</v>
      </c>
      <c r="Q27" s="5">
        <v>1</v>
      </c>
      <c r="R27" s="5"/>
      <c r="S27" s="5"/>
      <c r="V27" s="4">
        <f t="shared" ca="1" si="24"/>
        <v>0</v>
      </c>
      <c r="W27" s="5">
        <f t="shared" ca="1" si="24"/>
        <v>1</v>
      </c>
      <c r="X27" s="5">
        <f t="shared" ca="1" si="24"/>
        <v>0</v>
      </c>
      <c r="Y27" s="6">
        <f t="shared" ca="1" si="24"/>
        <v>0</v>
      </c>
      <c r="AA27" s="33">
        <f t="shared" ca="1" si="19"/>
        <v>0</v>
      </c>
      <c r="AB27" s="34">
        <f t="shared" ca="1" si="4"/>
        <v>0</v>
      </c>
      <c r="AC27" s="34">
        <f t="shared" ca="1" si="5"/>
        <v>0</v>
      </c>
      <c r="AD27" s="34">
        <f t="shared" ca="1" si="15"/>
        <v>0</v>
      </c>
      <c r="AE27" s="34">
        <f t="shared" ca="1" si="6"/>
        <v>0</v>
      </c>
      <c r="AF27" s="34">
        <f t="shared" ca="1" si="7"/>
        <v>0</v>
      </c>
      <c r="AG27" s="34">
        <f t="shared" ca="1" si="8"/>
        <v>0</v>
      </c>
      <c r="AH27" s="34">
        <f t="shared" ca="1" si="9"/>
        <v>0</v>
      </c>
      <c r="AI27" s="34">
        <f t="shared" ca="1" si="10"/>
        <v>0</v>
      </c>
      <c r="AJ27" s="35">
        <f t="shared" ca="1" si="11"/>
        <v>0</v>
      </c>
      <c r="BP27" s="4">
        <v>1</v>
      </c>
      <c r="BQ27" s="10">
        <v>1</v>
      </c>
      <c r="BR27" s="5"/>
      <c r="BS27" s="6"/>
      <c r="BT27" s="4"/>
      <c r="BU27" s="5"/>
      <c r="BV27" s="5"/>
      <c r="BW27" s="6"/>
      <c r="BX27" s="4">
        <v>1</v>
      </c>
      <c r="BY27" s="5"/>
      <c r="BZ27" s="5"/>
      <c r="CA27" s="6"/>
      <c r="CB27" s="4"/>
      <c r="CC27" s="5"/>
      <c r="CD27" s="5"/>
      <c r="CE27" s="6"/>
    </row>
    <row r="28" spans="3:83" ht="15" customHeight="1" x14ac:dyDescent="0.2">
      <c r="C28">
        <f t="shared" si="0"/>
        <v>0</v>
      </c>
      <c r="F28" s="20">
        <v>1</v>
      </c>
      <c r="G28" s="16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15">
        <v>0</v>
      </c>
      <c r="Q28" s="5">
        <v>1</v>
      </c>
      <c r="R28" s="5"/>
      <c r="S28" s="5"/>
      <c r="V28" s="4">
        <f t="shared" ca="1" si="24"/>
        <v>0</v>
      </c>
      <c r="W28" s="5">
        <f t="shared" ca="1" si="24"/>
        <v>1</v>
      </c>
      <c r="X28" s="5">
        <f t="shared" ca="1" si="24"/>
        <v>0</v>
      </c>
      <c r="Y28" s="6">
        <f t="shared" ca="1" si="24"/>
        <v>0</v>
      </c>
      <c r="AA28" s="33">
        <f t="shared" ca="1" si="19"/>
        <v>0</v>
      </c>
      <c r="AB28" s="34">
        <f t="shared" ca="1" si="4"/>
        <v>0</v>
      </c>
      <c r="AC28" s="34">
        <f t="shared" ca="1" si="5"/>
        <v>0</v>
      </c>
      <c r="AD28" s="34">
        <f t="shared" ca="1" si="15"/>
        <v>0</v>
      </c>
      <c r="AE28" s="34">
        <f t="shared" ca="1" si="6"/>
        <v>0</v>
      </c>
      <c r="AF28" s="34">
        <f t="shared" ca="1" si="7"/>
        <v>0</v>
      </c>
      <c r="AG28" s="34">
        <f t="shared" ca="1" si="8"/>
        <v>0</v>
      </c>
      <c r="AH28" s="34">
        <f t="shared" ca="1" si="9"/>
        <v>0</v>
      </c>
      <c r="AI28" s="34">
        <f t="shared" ca="1" si="10"/>
        <v>0</v>
      </c>
      <c r="AJ28" s="35">
        <f t="shared" ca="1" si="11"/>
        <v>0</v>
      </c>
      <c r="BP28" s="7"/>
      <c r="BQ28" s="8"/>
      <c r="BR28" s="8"/>
      <c r="BS28" s="9"/>
      <c r="BT28" s="7"/>
      <c r="BU28" s="8"/>
      <c r="BV28" s="8"/>
      <c r="BW28" s="9"/>
      <c r="BX28" s="7"/>
      <c r="BY28" s="8"/>
      <c r="BZ28" s="8"/>
      <c r="CA28" s="9"/>
      <c r="CB28" s="7"/>
      <c r="CC28" s="8"/>
      <c r="CD28" s="8"/>
      <c r="CE28" s="9"/>
    </row>
    <row r="29" spans="3:83" ht="15" customHeight="1" x14ac:dyDescent="0.2">
      <c r="C29">
        <f t="shared" si="0"/>
        <v>0</v>
      </c>
      <c r="F29" s="20">
        <v>1</v>
      </c>
      <c r="G29" s="16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15">
        <v>0</v>
      </c>
      <c r="Q29" s="5">
        <v>1</v>
      </c>
      <c r="R29" s="5"/>
      <c r="S29" s="5"/>
      <c r="V29" s="7">
        <f t="shared" ca="1" si="24"/>
        <v>0</v>
      </c>
      <c r="W29" s="8">
        <f t="shared" ca="1" si="24"/>
        <v>1</v>
      </c>
      <c r="X29" s="8">
        <f t="shared" ca="1" si="24"/>
        <v>0</v>
      </c>
      <c r="Y29" s="9">
        <f t="shared" ca="1" si="24"/>
        <v>0</v>
      </c>
      <c r="AA29" s="33">
        <f t="shared" ca="1" si="19"/>
        <v>0</v>
      </c>
      <c r="AB29" s="34">
        <f t="shared" ca="1" si="4"/>
        <v>0</v>
      </c>
      <c r="AC29" s="34">
        <f t="shared" ca="1" si="5"/>
        <v>0</v>
      </c>
      <c r="AD29" s="34">
        <f t="shared" ca="1" si="15"/>
        <v>0</v>
      </c>
      <c r="AE29" s="34">
        <f t="shared" ca="1" si="6"/>
        <v>0</v>
      </c>
      <c r="AF29" s="34">
        <f t="shared" ca="1" si="7"/>
        <v>0</v>
      </c>
      <c r="AG29" s="34">
        <f t="shared" ca="1" si="8"/>
        <v>0</v>
      </c>
      <c r="AH29" s="34">
        <f t="shared" ca="1" si="9"/>
        <v>0</v>
      </c>
      <c r="AI29" s="34">
        <f t="shared" ca="1" si="10"/>
        <v>0</v>
      </c>
      <c r="AJ29" s="35">
        <f t="shared" ca="1" si="11"/>
        <v>0</v>
      </c>
      <c r="BO29">
        <v>3</v>
      </c>
      <c r="BP29" s="1"/>
      <c r="BQ29" s="2">
        <v>1</v>
      </c>
      <c r="BR29" s="2"/>
      <c r="BS29" s="3"/>
      <c r="BT29" s="1">
        <v>1</v>
      </c>
      <c r="BU29" s="2">
        <v>1</v>
      </c>
      <c r="BV29" s="2">
        <v>1</v>
      </c>
      <c r="BW29" s="3"/>
      <c r="BX29" s="1">
        <v>1</v>
      </c>
      <c r="BY29" s="2">
        <v>1</v>
      </c>
      <c r="BZ29" s="2"/>
      <c r="CA29" s="3"/>
      <c r="CB29" s="1"/>
      <c r="CC29" s="2"/>
      <c r="CD29" s="2">
        <v>1</v>
      </c>
      <c r="CE29" s="3"/>
    </row>
    <row r="30" spans="3:83" ht="15" customHeight="1" x14ac:dyDescent="0.2">
      <c r="C30">
        <f t="shared" si="0"/>
        <v>0</v>
      </c>
      <c r="F30" s="20">
        <v>1</v>
      </c>
      <c r="G30" s="16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15">
        <v>0</v>
      </c>
      <c r="Q30" s="5">
        <v>1</v>
      </c>
      <c r="R30" s="5"/>
      <c r="S30" s="5"/>
      <c r="AA30" s="33">
        <f t="shared" ca="1" si="19"/>
        <v>0</v>
      </c>
      <c r="AB30" s="34">
        <f t="shared" ca="1" si="4"/>
        <v>0</v>
      </c>
      <c r="AC30" s="34">
        <f t="shared" ca="1" si="5"/>
        <v>0</v>
      </c>
      <c r="AD30" s="34">
        <f t="shared" ca="1" si="15"/>
        <v>0</v>
      </c>
      <c r="AE30" s="34">
        <f t="shared" ca="1" si="6"/>
        <v>0</v>
      </c>
      <c r="AF30" s="34">
        <f t="shared" ca="1" si="7"/>
        <v>1</v>
      </c>
      <c r="AG30" s="34">
        <f t="shared" ca="1" si="8"/>
        <v>0</v>
      </c>
      <c r="AH30" s="34">
        <f t="shared" ca="1" si="9"/>
        <v>0</v>
      </c>
      <c r="AI30" s="34">
        <f t="shared" ca="1" si="10"/>
        <v>0</v>
      </c>
      <c r="AJ30" s="35">
        <f t="shared" ca="1" si="11"/>
        <v>0</v>
      </c>
      <c r="BP30" s="4"/>
      <c r="BQ30" s="10">
        <v>1</v>
      </c>
      <c r="BR30" s="5"/>
      <c r="BS30" s="6"/>
      <c r="BT30" s="4">
        <v>1</v>
      </c>
      <c r="BU30" s="5"/>
      <c r="BV30" s="5"/>
      <c r="BW30" s="6"/>
      <c r="BX30" s="4"/>
      <c r="BY30" s="5">
        <v>1</v>
      </c>
      <c r="BZ30" s="5"/>
      <c r="CA30" s="6"/>
      <c r="CB30" s="4">
        <v>1</v>
      </c>
      <c r="CC30" s="5">
        <v>1</v>
      </c>
      <c r="CD30" s="5">
        <v>1</v>
      </c>
      <c r="CE30" s="6"/>
    </row>
    <row r="31" spans="3:83" ht="15" customHeight="1" x14ac:dyDescent="0.2">
      <c r="C31">
        <f t="shared" si="0"/>
        <v>0</v>
      </c>
      <c r="F31" s="20">
        <v>1</v>
      </c>
      <c r="G31" s="16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15">
        <v>0</v>
      </c>
      <c r="Q31" s="5">
        <v>1</v>
      </c>
      <c r="R31" s="5"/>
      <c r="S31" s="5"/>
      <c r="V31" s="1">
        <f t="shared" ref="V31:Y34" ca="1" si="25">OFFSET($G$21,ROW()-ROW($V$31)+$A$5,COLUMN()-COLUMN($V$31)+$A$9-1)+BA21</f>
        <v>0</v>
      </c>
      <c r="W31" s="2">
        <f t="shared" ca="1" si="25"/>
        <v>1</v>
      </c>
      <c r="X31" s="2">
        <f t="shared" ca="1" si="25"/>
        <v>0</v>
      </c>
      <c r="Y31" s="3">
        <f t="shared" ca="1" si="25"/>
        <v>0</v>
      </c>
      <c r="AA31" s="33">
        <f t="shared" ca="1" si="19"/>
        <v>0</v>
      </c>
      <c r="AB31" s="34">
        <f t="shared" ca="1" si="4"/>
        <v>0</v>
      </c>
      <c r="AC31" s="34">
        <f t="shared" ca="1" si="5"/>
        <v>0</v>
      </c>
      <c r="AD31" s="34">
        <f t="shared" ca="1" si="15"/>
        <v>0</v>
      </c>
      <c r="AE31" s="34">
        <f t="shared" ca="1" si="6"/>
        <v>0</v>
      </c>
      <c r="AF31" s="34">
        <f t="shared" ca="1" si="7"/>
        <v>1</v>
      </c>
      <c r="AG31" s="34">
        <f t="shared" ca="1" si="8"/>
        <v>0</v>
      </c>
      <c r="AH31" s="34">
        <f t="shared" ca="1" si="9"/>
        <v>0</v>
      </c>
      <c r="AI31" s="34">
        <f t="shared" ca="1" si="10"/>
        <v>0</v>
      </c>
      <c r="AJ31" s="35">
        <f t="shared" ca="1" si="11"/>
        <v>0</v>
      </c>
      <c r="BP31" s="4"/>
      <c r="BQ31" s="10">
        <v>1</v>
      </c>
      <c r="BR31" s="5">
        <v>1</v>
      </c>
      <c r="BS31" s="6"/>
      <c r="BT31" s="4"/>
      <c r="BU31" s="5"/>
      <c r="BV31" s="5"/>
      <c r="BW31" s="6"/>
      <c r="BX31" s="4"/>
      <c r="BY31" s="5">
        <v>1</v>
      </c>
      <c r="BZ31" s="5"/>
      <c r="CA31" s="6"/>
      <c r="CB31" s="4"/>
      <c r="CC31" s="5"/>
      <c r="CD31" s="5"/>
      <c r="CE31" s="6"/>
    </row>
    <row r="32" spans="3:83" ht="15" customHeight="1" x14ac:dyDescent="0.2">
      <c r="C32">
        <f t="shared" si="0"/>
        <v>0</v>
      </c>
      <c r="F32" s="20">
        <v>1</v>
      </c>
      <c r="G32" s="16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15">
        <v>0</v>
      </c>
      <c r="Q32" s="5">
        <v>1</v>
      </c>
      <c r="R32" s="5"/>
      <c r="S32" s="5"/>
      <c r="V32" s="4">
        <f t="shared" ca="1" si="25"/>
        <v>0</v>
      </c>
      <c r="W32" s="5">
        <f t="shared" ca="1" si="25"/>
        <v>1</v>
      </c>
      <c r="X32" s="5">
        <f t="shared" ca="1" si="25"/>
        <v>0</v>
      </c>
      <c r="Y32" s="6">
        <f t="shared" ca="1" si="25"/>
        <v>0</v>
      </c>
      <c r="AA32" s="33">
        <f t="shared" ca="1" si="19"/>
        <v>0</v>
      </c>
      <c r="AB32" s="34">
        <f t="shared" ca="1" si="4"/>
        <v>0</v>
      </c>
      <c r="AC32" s="34">
        <f t="shared" ca="1" si="5"/>
        <v>0</v>
      </c>
      <c r="AD32" s="34">
        <f t="shared" ca="1" si="15"/>
        <v>0</v>
      </c>
      <c r="AE32" s="34">
        <f t="shared" ca="1" si="6"/>
        <v>0</v>
      </c>
      <c r="AF32" s="34">
        <f t="shared" ca="1" si="7"/>
        <v>1</v>
      </c>
      <c r="AG32" s="34">
        <f t="shared" ca="1" si="8"/>
        <v>0</v>
      </c>
      <c r="AH32" s="34">
        <f t="shared" ca="1" si="9"/>
        <v>0</v>
      </c>
      <c r="AI32" s="34">
        <f t="shared" ca="1" si="10"/>
        <v>0</v>
      </c>
      <c r="AJ32" s="35">
        <f t="shared" ca="1" si="11"/>
        <v>0</v>
      </c>
      <c r="BP32" s="7"/>
      <c r="BQ32" s="8"/>
      <c r="BR32" s="8"/>
      <c r="BS32" s="9"/>
      <c r="BT32" s="7"/>
      <c r="BU32" s="8"/>
      <c r="BV32" s="8"/>
      <c r="BW32" s="9"/>
      <c r="BX32" s="7"/>
      <c r="BY32" s="8"/>
      <c r="BZ32" s="8"/>
      <c r="CA32" s="9"/>
      <c r="CB32" s="7"/>
      <c r="CC32" s="8"/>
      <c r="CD32" s="8"/>
      <c r="CE32" s="9"/>
    </row>
    <row r="33" spans="3:83" ht="15" customHeight="1" x14ac:dyDescent="0.2">
      <c r="C33">
        <f t="shared" si="0"/>
        <v>0</v>
      </c>
      <c r="F33" s="20">
        <v>1</v>
      </c>
      <c r="G33" s="16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15">
        <v>0</v>
      </c>
      <c r="Q33" s="5">
        <v>1</v>
      </c>
      <c r="R33" s="5"/>
      <c r="S33" s="5"/>
      <c r="V33" s="4">
        <f t="shared" ca="1" si="25"/>
        <v>0</v>
      </c>
      <c r="W33" s="5">
        <f t="shared" ca="1" si="25"/>
        <v>1</v>
      </c>
      <c r="X33" s="5">
        <f t="shared" ca="1" si="25"/>
        <v>0</v>
      </c>
      <c r="Y33" s="6">
        <f t="shared" ca="1" si="25"/>
        <v>0</v>
      </c>
      <c r="AA33" s="33">
        <f t="shared" ca="1" si="19"/>
        <v>0</v>
      </c>
      <c r="AB33" s="34">
        <f t="shared" ca="1" si="4"/>
        <v>0</v>
      </c>
      <c r="AC33" s="34">
        <f t="shared" ca="1" si="5"/>
        <v>0</v>
      </c>
      <c r="AD33" s="34">
        <f t="shared" ca="1" si="15"/>
        <v>0</v>
      </c>
      <c r="AE33" s="34">
        <f t="shared" ca="1" si="6"/>
        <v>0</v>
      </c>
      <c r="AF33" s="34">
        <f t="shared" ca="1" si="7"/>
        <v>1</v>
      </c>
      <c r="AG33" s="34">
        <f t="shared" ca="1" si="8"/>
        <v>0</v>
      </c>
      <c r="AH33" s="34">
        <f t="shared" ca="1" si="9"/>
        <v>0</v>
      </c>
      <c r="AI33" s="34">
        <f t="shared" ca="1" si="10"/>
        <v>0</v>
      </c>
      <c r="AJ33" s="35">
        <f t="shared" ca="1" si="11"/>
        <v>0</v>
      </c>
      <c r="BO33">
        <v>4</v>
      </c>
      <c r="BP33" s="1">
        <v>1</v>
      </c>
      <c r="BQ33" s="2">
        <v>1</v>
      </c>
      <c r="BR33" s="2">
        <v>1</v>
      </c>
      <c r="BS33" s="3"/>
      <c r="BT33" s="1"/>
      <c r="BU33" s="2">
        <v>1</v>
      </c>
      <c r="BV33" s="2"/>
      <c r="BW33" s="3"/>
      <c r="BX33" s="1"/>
      <c r="BY33" s="2">
        <v>1</v>
      </c>
      <c r="BZ33" s="2"/>
      <c r="CA33" s="3"/>
      <c r="CB33" s="1">
        <v>1</v>
      </c>
      <c r="CC33" s="2"/>
      <c r="CD33" s="2"/>
      <c r="CE33" s="3"/>
    </row>
    <row r="34" spans="3:83" ht="15" customHeight="1" x14ac:dyDescent="0.2">
      <c r="C34">
        <f t="shared" si="0"/>
        <v>0</v>
      </c>
      <c r="F34" s="20">
        <v>1</v>
      </c>
      <c r="G34" s="16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15">
        <v>0</v>
      </c>
      <c r="Q34" s="5">
        <v>1</v>
      </c>
      <c r="R34" s="5"/>
      <c r="S34" s="5"/>
      <c r="V34" s="7">
        <f t="shared" ca="1" si="25"/>
        <v>0</v>
      </c>
      <c r="W34" s="8">
        <f t="shared" ca="1" si="25"/>
        <v>1</v>
      </c>
      <c r="X34" s="8">
        <f t="shared" ca="1" si="25"/>
        <v>0</v>
      </c>
      <c r="Y34" s="9">
        <f t="shared" ca="1" si="25"/>
        <v>0</v>
      </c>
      <c r="AA34" s="33">
        <f t="shared" ca="1" si="19"/>
        <v>0</v>
      </c>
      <c r="AB34" s="34">
        <f t="shared" ca="1" si="4"/>
        <v>0</v>
      </c>
      <c r="AC34" s="34">
        <f t="shared" ca="1" si="5"/>
        <v>0</v>
      </c>
      <c r="AD34" s="34">
        <f t="shared" ca="1" si="15"/>
        <v>0</v>
      </c>
      <c r="AE34" s="34">
        <f t="shared" ca="1" si="6"/>
        <v>0</v>
      </c>
      <c r="AF34" s="34">
        <f t="shared" ca="1" si="7"/>
        <v>0</v>
      </c>
      <c r="AG34" s="34">
        <f t="shared" ca="1" si="8"/>
        <v>0</v>
      </c>
      <c r="AH34" s="34">
        <f t="shared" ca="1" si="9"/>
        <v>0</v>
      </c>
      <c r="AI34" s="34">
        <f t="shared" ca="1" si="10"/>
        <v>0</v>
      </c>
      <c r="AJ34" s="35">
        <f t="shared" ca="1" si="11"/>
        <v>0</v>
      </c>
      <c r="BP34" s="4"/>
      <c r="BQ34" s="5">
        <v>1</v>
      </c>
      <c r="BR34" s="5"/>
      <c r="BS34" s="6"/>
      <c r="BT34" s="4">
        <v>1</v>
      </c>
      <c r="BU34" s="5">
        <v>1</v>
      </c>
      <c r="BV34" s="5"/>
      <c r="BW34" s="6"/>
      <c r="BX34" s="4">
        <v>1</v>
      </c>
      <c r="BY34" s="5">
        <v>1</v>
      </c>
      <c r="BZ34" s="5">
        <v>1</v>
      </c>
      <c r="CA34" s="6"/>
      <c r="CB34" s="4">
        <v>1</v>
      </c>
      <c r="CC34" s="5">
        <v>1</v>
      </c>
      <c r="CD34" s="5"/>
      <c r="CE34" s="6"/>
    </row>
    <row r="35" spans="3:83" ht="15" customHeight="1" x14ac:dyDescent="0.2">
      <c r="C35">
        <f t="shared" si="0"/>
        <v>0</v>
      </c>
      <c r="F35" s="20">
        <v>1</v>
      </c>
      <c r="G35" s="16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15">
        <v>0</v>
      </c>
      <c r="Q35" s="5">
        <v>1</v>
      </c>
      <c r="R35" s="5"/>
      <c r="S35" s="5"/>
      <c r="AA35" s="33">
        <f t="shared" ca="1" si="19"/>
        <v>0</v>
      </c>
      <c r="AB35" s="34">
        <f t="shared" ca="1" si="4"/>
        <v>0</v>
      </c>
      <c r="AC35" s="34">
        <f t="shared" ca="1" si="5"/>
        <v>0</v>
      </c>
      <c r="AD35" s="34">
        <f t="shared" ca="1" si="15"/>
        <v>0</v>
      </c>
      <c r="AE35" s="34">
        <f t="shared" ca="1" si="6"/>
        <v>0</v>
      </c>
      <c r="AF35" s="34">
        <f t="shared" ca="1" si="7"/>
        <v>0</v>
      </c>
      <c r="AG35" s="34">
        <f t="shared" ca="1" si="8"/>
        <v>0</v>
      </c>
      <c r="AH35" s="34">
        <f t="shared" ca="1" si="9"/>
        <v>0</v>
      </c>
      <c r="AI35" s="34">
        <f t="shared" ca="1" si="10"/>
        <v>0</v>
      </c>
      <c r="AJ35" s="35">
        <f t="shared" ca="1" si="11"/>
        <v>0</v>
      </c>
      <c r="BP35" s="4"/>
      <c r="BQ35" s="5"/>
      <c r="BR35" s="5"/>
      <c r="BS35" s="6"/>
      <c r="BT35" s="4"/>
      <c r="BU35" s="5">
        <v>1</v>
      </c>
      <c r="BV35" s="5"/>
      <c r="BW35" s="6"/>
      <c r="BX35" s="4"/>
      <c r="BY35" s="5"/>
      <c r="BZ35" s="5"/>
      <c r="CA35" s="6"/>
      <c r="CB35" s="4">
        <v>1</v>
      </c>
      <c r="CC35" s="5"/>
      <c r="CD35" s="5"/>
      <c r="CE35" s="6"/>
    </row>
    <row r="36" spans="3:83" ht="15" customHeight="1" x14ac:dyDescent="0.2">
      <c r="C36">
        <f t="shared" si="0"/>
        <v>1</v>
      </c>
      <c r="F36" s="20">
        <v>1</v>
      </c>
      <c r="G36" s="16">
        <v>0</v>
      </c>
      <c r="H36" s="5">
        <v>0</v>
      </c>
      <c r="I36" s="5">
        <v>0</v>
      </c>
      <c r="J36" s="5">
        <v>0</v>
      </c>
      <c r="K36" s="5">
        <v>0</v>
      </c>
      <c r="L36" s="5">
        <v>1</v>
      </c>
      <c r="M36" s="5">
        <v>0</v>
      </c>
      <c r="N36" s="5">
        <v>0</v>
      </c>
      <c r="O36" s="5">
        <v>0</v>
      </c>
      <c r="P36" s="15">
        <v>0</v>
      </c>
      <c r="Q36" s="5">
        <v>1</v>
      </c>
      <c r="R36" s="5"/>
      <c r="S36" s="5"/>
      <c r="V36" s="1">
        <f t="shared" ref="V36:Y39" ca="1" si="26">OFFSET($G$21,ROW()-ROW($V$36)+$A$5,COLUMN()-COLUMN($V$36)+$A$9+1)+BA21</f>
        <v>0</v>
      </c>
      <c r="W36" s="2">
        <f t="shared" ca="1" si="26"/>
        <v>1</v>
      </c>
      <c r="X36" s="2">
        <f t="shared" ca="1" si="26"/>
        <v>0</v>
      </c>
      <c r="Y36" s="3">
        <f t="shared" ca="1" si="26"/>
        <v>0</v>
      </c>
      <c r="AA36" s="33">
        <f t="shared" ca="1" si="19"/>
        <v>0</v>
      </c>
      <c r="AB36" s="34">
        <f t="shared" ca="1" si="4"/>
        <v>0</v>
      </c>
      <c r="AC36" s="34">
        <f t="shared" ca="1" si="5"/>
        <v>0</v>
      </c>
      <c r="AD36" s="34">
        <f t="shared" ca="1" si="15"/>
        <v>0</v>
      </c>
      <c r="AE36" s="34">
        <f t="shared" ca="1" si="6"/>
        <v>0</v>
      </c>
      <c r="AF36" s="34">
        <f t="shared" ca="1" si="7"/>
        <v>1</v>
      </c>
      <c r="AG36" s="34">
        <f t="shared" ca="1" si="8"/>
        <v>0</v>
      </c>
      <c r="AH36" s="34">
        <f t="shared" ca="1" si="9"/>
        <v>0</v>
      </c>
      <c r="AI36" s="34">
        <f t="shared" ca="1" si="10"/>
        <v>0</v>
      </c>
      <c r="AJ36" s="35">
        <f t="shared" ca="1" si="11"/>
        <v>0</v>
      </c>
      <c r="BP36" s="7"/>
      <c r="BQ36" s="8"/>
      <c r="BR36" s="8"/>
      <c r="BS36" s="9"/>
      <c r="BT36" s="7"/>
      <c r="BU36" s="8"/>
      <c r="BV36" s="8"/>
      <c r="BW36" s="9"/>
      <c r="BX36" s="7"/>
      <c r="BY36" s="8"/>
      <c r="BZ36" s="8"/>
      <c r="CA36" s="9"/>
      <c r="CB36" s="7"/>
      <c r="CC36" s="8"/>
      <c r="CD36" s="8"/>
      <c r="CE36" s="9"/>
    </row>
    <row r="37" spans="3:83" ht="15" customHeight="1" x14ac:dyDescent="0.2">
      <c r="C37">
        <f t="shared" si="0"/>
        <v>1</v>
      </c>
      <c r="F37" s="20">
        <v>1</v>
      </c>
      <c r="G37" s="16">
        <v>0</v>
      </c>
      <c r="H37" s="5">
        <v>0</v>
      </c>
      <c r="I37" s="5">
        <v>0</v>
      </c>
      <c r="J37" s="5">
        <v>0</v>
      </c>
      <c r="K37" s="5">
        <v>0</v>
      </c>
      <c r="L37" s="5">
        <v>1</v>
      </c>
      <c r="M37" s="5">
        <v>0</v>
      </c>
      <c r="N37" s="5">
        <v>0</v>
      </c>
      <c r="O37" s="5">
        <v>0</v>
      </c>
      <c r="P37" s="15">
        <v>0</v>
      </c>
      <c r="Q37" s="5">
        <v>1</v>
      </c>
      <c r="R37" s="5"/>
      <c r="S37" s="5"/>
      <c r="V37" s="4">
        <f t="shared" ca="1" si="26"/>
        <v>0</v>
      </c>
      <c r="W37" s="5">
        <f t="shared" ca="1" si="26"/>
        <v>1</v>
      </c>
      <c r="X37" s="5">
        <f t="shared" ca="1" si="26"/>
        <v>0</v>
      </c>
      <c r="Y37" s="6">
        <f t="shared" ca="1" si="26"/>
        <v>0</v>
      </c>
      <c r="AA37" s="33">
        <f t="shared" ca="1" si="19"/>
        <v>0</v>
      </c>
      <c r="AB37" s="34">
        <f t="shared" ca="1" si="4"/>
        <v>0</v>
      </c>
      <c r="AC37" s="34">
        <f t="shared" ca="1" si="5"/>
        <v>0</v>
      </c>
      <c r="AD37" s="34">
        <f t="shared" ca="1" si="15"/>
        <v>0</v>
      </c>
      <c r="AE37" s="34">
        <f t="shared" ca="1" si="6"/>
        <v>0</v>
      </c>
      <c r="AF37" s="34">
        <f t="shared" ca="1" si="7"/>
        <v>1</v>
      </c>
      <c r="AG37" s="34">
        <f t="shared" ca="1" si="8"/>
        <v>0</v>
      </c>
      <c r="AH37" s="34">
        <f t="shared" ca="1" si="9"/>
        <v>0</v>
      </c>
      <c r="AI37" s="34">
        <f t="shared" ca="1" si="10"/>
        <v>0</v>
      </c>
      <c r="AJ37" s="35">
        <f t="shared" ca="1" si="11"/>
        <v>0</v>
      </c>
      <c r="BO37">
        <v>5</v>
      </c>
      <c r="BP37" s="1">
        <v>1</v>
      </c>
      <c r="BQ37" s="2">
        <v>1</v>
      </c>
      <c r="BR37" s="2"/>
      <c r="BS37" s="3"/>
      <c r="BT37" s="1"/>
      <c r="BU37" s="2">
        <v>1</v>
      </c>
      <c r="BV37" s="2"/>
      <c r="BW37" s="3"/>
      <c r="BX37" s="1">
        <v>1</v>
      </c>
      <c r="BY37" s="2">
        <v>1</v>
      </c>
      <c r="BZ37" s="2"/>
      <c r="CA37" s="3"/>
      <c r="CB37" s="1"/>
      <c r="CC37" s="2">
        <v>1</v>
      </c>
      <c r="CD37" s="2"/>
      <c r="CE37" s="3"/>
    </row>
    <row r="38" spans="3:83" ht="15" customHeight="1" x14ac:dyDescent="0.2">
      <c r="C38">
        <f t="shared" si="0"/>
        <v>4</v>
      </c>
      <c r="F38" s="20">
        <v>1</v>
      </c>
      <c r="G38" s="16">
        <v>0</v>
      </c>
      <c r="H38" s="5">
        <v>0</v>
      </c>
      <c r="I38" s="5">
        <v>0</v>
      </c>
      <c r="J38" s="5">
        <v>0</v>
      </c>
      <c r="K38" s="5">
        <v>1</v>
      </c>
      <c r="L38" s="5">
        <v>1</v>
      </c>
      <c r="M38" s="5">
        <v>1</v>
      </c>
      <c r="N38" s="5">
        <v>1</v>
      </c>
      <c r="O38" s="5">
        <v>0</v>
      </c>
      <c r="P38" s="15">
        <v>0</v>
      </c>
      <c r="Q38" s="5">
        <v>1</v>
      </c>
      <c r="R38" s="5"/>
      <c r="S38" s="5"/>
      <c r="V38" s="4">
        <f t="shared" ca="1" si="26"/>
        <v>0</v>
      </c>
      <c r="W38" s="5">
        <f t="shared" ca="1" si="26"/>
        <v>1</v>
      </c>
      <c r="X38" s="5">
        <f t="shared" ca="1" si="26"/>
        <v>0</v>
      </c>
      <c r="Y38" s="6">
        <f t="shared" ca="1" si="26"/>
        <v>0</v>
      </c>
      <c r="AA38" s="33">
        <f t="shared" ca="1" si="19"/>
        <v>0</v>
      </c>
      <c r="AB38" s="34">
        <f t="shared" ca="1" si="4"/>
        <v>0</v>
      </c>
      <c r="AC38" s="34">
        <f t="shared" ca="1" si="5"/>
        <v>0</v>
      </c>
      <c r="AD38" s="34">
        <f t="shared" ca="1" si="15"/>
        <v>0</v>
      </c>
      <c r="AE38" s="34">
        <f t="shared" ca="1" si="6"/>
        <v>1</v>
      </c>
      <c r="AF38" s="34">
        <f t="shared" ca="1" si="7"/>
        <v>1</v>
      </c>
      <c r="AG38" s="34">
        <f t="shared" ca="1" si="8"/>
        <v>1</v>
      </c>
      <c r="AH38" s="34">
        <f t="shared" ca="1" si="9"/>
        <v>1</v>
      </c>
      <c r="AI38" s="34">
        <f t="shared" ca="1" si="10"/>
        <v>0</v>
      </c>
      <c r="AJ38" s="35">
        <f t="shared" ca="1" si="11"/>
        <v>0</v>
      </c>
      <c r="BP38" s="4"/>
      <c r="BQ38" s="5">
        <v>1</v>
      </c>
      <c r="BR38" s="5">
        <v>1</v>
      </c>
      <c r="BS38" s="6"/>
      <c r="BT38" s="4">
        <v>1</v>
      </c>
      <c r="BU38" s="5">
        <v>1</v>
      </c>
      <c r="BV38" s="5"/>
      <c r="BW38" s="6"/>
      <c r="BX38" s="4"/>
      <c r="BY38" s="5">
        <v>1</v>
      </c>
      <c r="BZ38" s="5">
        <v>1</v>
      </c>
      <c r="CA38" s="6"/>
      <c r="CB38" s="4">
        <v>1</v>
      </c>
      <c r="CC38" s="5">
        <v>1</v>
      </c>
      <c r="CD38" s="5"/>
      <c r="CE38" s="6"/>
    </row>
    <row r="39" spans="3:83" ht="15" customHeight="1" x14ac:dyDescent="0.2">
      <c r="C39">
        <f t="shared" si="0"/>
        <v>7</v>
      </c>
      <c r="F39" s="20">
        <v>1</v>
      </c>
      <c r="G39" s="16">
        <v>0</v>
      </c>
      <c r="H39" s="5">
        <v>1</v>
      </c>
      <c r="I39" s="5">
        <v>1</v>
      </c>
      <c r="J39" s="5">
        <v>0</v>
      </c>
      <c r="K39" s="5">
        <v>1</v>
      </c>
      <c r="L39" s="5">
        <v>1</v>
      </c>
      <c r="M39" s="5">
        <v>1</v>
      </c>
      <c r="N39" s="5">
        <v>1</v>
      </c>
      <c r="O39" s="5">
        <v>1</v>
      </c>
      <c r="P39" s="15">
        <v>0</v>
      </c>
      <c r="Q39" s="5">
        <v>1</v>
      </c>
      <c r="R39" s="5"/>
      <c r="S39" s="5"/>
      <c r="V39" s="7">
        <f t="shared" ca="1" si="26"/>
        <v>0</v>
      </c>
      <c r="W39" s="8">
        <f t="shared" ca="1" si="26"/>
        <v>1</v>
      </c>
      <c r="X39" s="8">
        <f t="shared" ca="1" si="26"/>
        <v>0</v>
      </c>
      <c r="Y39" s="9">
        <f t="shared" ca="1" si="26"/>
        <v>0</v>
      </c>
      <c r="AA39" s="33">
        <f t="shared" ca="1" si="19"/>
        <v>0</v>
      </c>
      <c r="AB39" s="34">
        <f t="shared" ca="1" si="4"/>
        <v>1</v>
      </c>
      <c r="AC39" s="34">
        <f t="shared" ca="1" si="5"/>
        <v>1</v>
      </c>
      <c r="AD39" s="34">
        <f t="shared" ca="1" si="15"/>
        <v>0</v>
      </c>
      <c r="AE39" s="34">
        <f t="shared" ca="1" si="6"/>
        <v>1</v>
      </c>
      <c r="AF39" s="34">
        <f t="shared" ca="1" si="7"/>
        <v>1</v>
      </c>
      <c r="AG39" s="34">
        <f t="shared" ca="1" si="8"/>
        <v>1</v>
      </c>
      <c r="AH39" s="34">
        <f t="shared" ca="1" si="9"/>
        <v>1</v>
      </c>
      <c r="AI39" s="34">
        <f t="shared" ca="1" si="10"/>
        <v>1</v>
      </c>
      <c r="AJ39" s="35">
        <f t="shared" ca="1" si="11"/>
        <v>0</v>
      </c>
      <c r="BP39" s="4"/>
      <c r="BQ39" s="5"/>
      <c r="BR39" s="5"/>
      <c r="BS39" s="6"/>
      <c r="BT39" s="4">
        <v>1</v>
      </c>
      <c r="BU39" s="5"/>
      <c r="BV39" s="5"/>
      <c r="BW39" s="6"/>
      <c r="BX39" s="4"/>
      <c r="BY39" s="5"/>
      <c r="BZ39" s="5"/>
      <c r="CA39" s="6"/>
      <c r="CB39" s="4">
        <v>1</v>
      </c>
      <c r="CC39" s="5"/>
      <c r="CD39" s="5"/>
      <c r="CE39" s="6"/>
    </row>
    <row r="40" spans="3:83" ht="15" customHeight="1" thickBot="1" x14ac:dyDescent="0.25">
      <c r="C40">
        <f>SUM(G40:P40)</f>
        <v>9</v>
      </c>
      <c r="F40" s="20">
        <v>1</v>
      </c>
      <c r="G40" s="17">
        <v>0</v>
      </c>
      <c r="H40" s="18">
        <v>1</v>
      </c>
      <c r="I40" s="18">
        <v>1</v>
      </c>
      <c r="J40" s="18">
        <v>1</v>
      </c>
      <c r="K40" s="18">
        <v>1</v>
      </c>
      <c r="L40" s="18">
        <v>1</v>
      </c>
      <c r="M40" s="18">
        <v>1</v>
      </c>
      <c r="N40" s="18">
        <v>1</v>
      </c>
      <c r="O40" s="18">
        <v>1</v>
      </c>
      <c r="P40" s="19">
        <v>1</v>
      </c>
      <c r="Q40" s="5">
        <v>1</v>
      </c>
      <c r="R40" s="5"/>
      <c r="S40" s="5"/>
      <c r="V40" s="5"/>
      <c r="W40" s="5"/>
      <c r="X40" s="5"/>
      <c r="Y40" s="5"/>
      <c r="AA40" s="36">
        <f t="shared" ca="1" si="19"/>
        <v>0</v>
      </c>
      <c r="AB40" s="37">
        <f t="shared" ca="1" si="4"/>
        <v>1</v>
      </c>
      <c r="AC40" s="37">
        <f t="shared" ca="1" si="5"/>
        <v>1</v>
      </c>
      <c r="AD40" s="37">
        <f t="shared" ca="1" si="15"/>
        <v>1</v>
      </c>
      <c r="AE40" s="37">
        <f t="shared" ca="1" si="6"/>
        <v>1</v>
      </c>
      <c r="AF40" s="37">
        <f t="shared" ca="1" si="7"/>
        <v>1</v>
      </c>
      <c r="AG40" s="37">
        <f t="shared" ca="1" si="8"/>
        <v>1</v>
      </c>
      <c r="AH40" s="37">
        <f t="shared" ca="1" si="9"/>
        <v>1</v>
      </c>
      <c r="AI40" s="37">
        <f t="shared" ca="1" si="10"/>
        <v>1</v>
      </c>
      <c r="AJ40" s="38">
        <f t="shared" ca="1" si="11"/>
        <v>1</v>
      </c>
      <c r="BP40" s="7"/>
      <c r="BQ40" s="8"/>
      <c r="BR40" s="8"/>
      <c r="BS40" s="9"/>
      <c r="BT40" s="7"/>
      <c r="BU40" s="8"/>
      <c r="BV40" s="8"/>
      <c r="BW40" s="9"/>
      <c r="BX40" s="7"/>
      <c r="BY40" s="8"/>
      <c r="BZ40" s="8"/>
      <c r="CA40" s="9"/>
      <c r="CB40" s="7"/>
      <c r="CC40" s="8"/>
      <c r="CD40" s="8"/>
      <c r="CE40" s="9"/>
    </row>
    <row r="41" spans="3:83" x14ac:dyDescent="0.2"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V41" s="1">
        <f t="shared" ref="V41:Y44" ca="1" si="27">OFFSET($G$21,ROW()-ROW($V$41)+$A$5,COLUMN()-COLUMN($V$41)+$A$9)+OFFSET(BP17, $A$2*4, MOD(($A$3+1),4)*4)</f>
        <v>0</v>
      </c>
      <c r="W41" s="2">
        <f t="shared" ca="1" si="27"/>
        <v>0</v>
      </c>
      <c r="X41" s="2">
        <f t="shared" ca="1" si="27"/>
        <v>0</v>
      </c>
      <c r="Y41" s="3">
        <f t="shared" ca="1" si="27"/>
        <v>0</v>
      </c>
      <c r="BO41">
        <v>6</v>
      </c>
      <c r="BP41" s="1"/>
      <c r="BQ41" s="2">
        <v>1</v>
      </c>
      <c r="BR41" s="2">
        <v>1</v>
      </c>
      <c r="BS41" s="3"/>
      <c r="BT41" s="1">
        <v>1</v>
      </c>
      <c r="BU41" s="2"/>
      <c r="BV41" s="2"/>
      <c r="BW41" s="3"/>
      <c r="BX41" s="1"/>
      <c r="BY41" s="2">
        <v>1</v>
      </c>
      <c r="BZ41" s="2">
        <v>1</v>
      </c>
      <c r="CA41" s="3"/>
      <c r="CB41" s="1">
        <v>1</v>
      </c>
      <c r="CC41" s="2"/>
      <c r="CD41" s="2"/>
      <c r="CE41" s="3"/>
    </row>
    <row r="42" spans="3:83" x14ac:dyDescent="0.2">
      <c r="V42" s="4">
        <f t="shared" ca="1" si="27"/>
        <v>1</v>
      </c>
      <c r="W42" s="5">
        <f t="shared" ca="1" si="27"/>
        <v>1</v>
      </c>
      <c r="X42" s="5">
        <f t="shared" ca="1" si="27"/>
        <v>1</v>
      </c>
      <c r="Y42" s="6">
        <f t="shared" ca="1" si="27"/>
        <v>1</v>
      </c>
      <c r="BP42" s="4">
        <v>1</v>
      </c>
      <c r="BQ42" s="5">
        <v>1</v>
      </c>
      <c r="BR42" s="5"/>
      <c r="BS42" s="6"/>
      <c r="BT42" s="4">
        <v>1</v>
      </c>
      <c r="BU42" s="5">
        <v>1</v>
      </c>
      <c r="BV42" s="5"/>
      <c r="BW42" s="6"/>
      <c r="BX42" s="4">
        <v>1</v>
      </c>
      <c r="BY42" s="5">
        <v>1</v>
      </c>
      <c r="BZ42" s="5"/>
      <c r="CA42" s="6"/>
      <c r="CB42" s="4">
        <v>1</v>
      </c>
      <c r="CC42" s="5">
        <v>1</v>
      </c>
      <c r="CD42" s="5"/>
      <c r="CE42" s="6"/>
    </row>
    <row r="43" spans="3:83" x14ac:dyDescent="0.2">
      <c r="V43" s="4">
        <f t="shared" ca="1" si="27"/>
        <v>0</v>
      </c>
      <c r="W43" s="5">
        <f t="shared" ca="1" si="27"/>
        <v>0</v>
      </c>
      <c r="X43" s="5">
        <f t="shared" ca="1" si="27"/>
        <v>0</v>
      </c>
      <c r="Y43" s="6">
        <f t="shared" ca="1" si="27"/>
        <v>0</v>
      </c>
      <c r="AC43" s="46" t="str">
        <f ca="1">IF(A7&gt;0,"GAME OVER", "")</f>
        <v/>
      </c>
      <c r="AD43" s="46"/>
      <c r="AE43" s="46"/>
      <c r="AF43" s="46"/>
      <c r="AG43" s="46"/>
      <c r="AH43" s="46"/>
      <c r="BP43" s="4"/>
      <c r="BQ43" s="5"/>
      <c r="BR43" s="5"/>
      <c r="BS43" s="6"/>
      <c r="BT43" s="4"/>
      <c r="BU43" s="5">
        <v>1</v>
      </c>
      <c r="BV43" s="5"/>
      <c r="BW43" s="6"/>
      <c r="BX43" s="4"/>
      <c r="BY43" s="5"/>
      <c r="BZ43" s="5"/>
      <c r="CA43" s="6"/>
      <c r="CB43" s="4"/>
      <c r="CC43" s="5">
        <v>1</v>
      </c>
      <c r="CD43" s="5"/>
      <c r="CE43" s="6"/>
    </row>
    <row r="44" spans="3:83" x14ac:dyDescent="0.2">
      <c r="V44" s="7">
        <f t="shared" ca="1" si="27"/>
        <v>0</v>
      </c>
      <c r="W44" s="8">
        <f t="shared" ca="1" si="27"/>
        <v>0</v>
      </c>
      <c r="X44" s="8">
        <f t="shared" ca="1" si="27"/>
        <v>0</v>
      </c>
      <c r="Y44" s="9">
        <f t="shared" ca="1" si="27"/>
        <v>0</v>
      </c>
      <c r="BP44" s="7"/>
      <c r="BQ44" s="8"/>
      <c r="BR44" s="8"/>
      <c r="BS44" s="9"/>
      <c r="BT44" s="7"/>
      <c r="BU44" s="8"/>
      <c r="BV44" s="8"/>
      <c r="BW44" s="9"/>
      <c r="BX44" s="7"/>
      <c r="BY44" s="8"/>
      <c r="BZ44" s="8"/>
      <c r="CA44" s="9"/>
      <c r="CB44" s="7"/>
      <c r="CC44" s="8"/>
      <c r="CD44" s="8"/>
      <c r="CE44" s="9"/>
    </row>
    <row r="45" spans="3:83" x14ac:dyDescent="0.2">
      <c r="AB45" s="22"/>
      <c r="AC45" s="23"/>
      <c r="AD45" s="23"/>
      <c r="AE45" s="23"/>
      <c r="AF45" s="23"/>
      <c r="AG45" s="23"/>
      <c r="AH45" s="24"/>
      <c r="BO45">
        <v>7</v>
      </c>
      <c r="BP45" s="1">
        <v>1</v>
      </c>
      <c r="BQ45" s="2">
        <v>1</v>
      </c>
      <c r="BR45" s="2"/>
      <c r="BS45" s="3"/>
      <c r="BT45" s="1">
        <v>1</v>
      </c>
      <c r="BU45" s="2">
        <v>1</v>
      </c>
      <c r="BV45" s="2"/>
      <c r="BW45" s="3"/>
      <c r="BX45" s="1">
        <v>1</v>
      </c>
      <c r="BY45" s="2">
        <v>1</v>
      </c>
      <c r="BZ45" s="2"/>
      <c r="CA45" s="3"/>
      <c r="CB45" s="1">
        <v>1</v>
      </c>
      <c r="CC45" s="2">
        <v>1</v>
      </c>
      <c r="CD45" s="2"/>
      <c r="CE45" s="3"/>
    </row>
    <row r="46" spans="3:83" x14ac:dyDescent="0.2">
      <c r="AB46" s="25"/>
      <c r="AC46" s="21"/>
      <c r="AD46" s="21"/>
      <c r="AE46" s="5" t="s">
        <v>19</v>
      </c>
      <c r="AF46" s="21"/>
      <c r="AG46" s="21"/>
      <c r="AH46" s="26"/>
      <c r="BP46" s="4">
        <v>1</v>
      </c>
      <c r="BQ46" s="5">
        <v>1</v>
      </c>
      <c r="BR46" s="5"/>
      <c r="BS46" s="6"/>
      <c r="BT46" s="4">
        <v>1</v>
      </c>
      <c r="BU46" s="5">
        <v>1</v>
      </c>
      <c r="BV46" s="5"/>
      <c r="BW46" s="6"/>
      <c r="BX46" s="4">
        <v>1</v>
      </c>
      <c r="BY46" s="5">
        <v>1</v>
      </c>
      <c r="BZ46" s="5"/>
      <c r="CA46" s="6"/>
      <c r="CB46" s="4">
        <v>1</v>
      </c>
      <c r="CC46" s="5">
        <v>1</v>
      </c>
      <c r="CD46" s="5"/>
      <c r="CE46" s="6"/>
    </row>
    <row r="47" spans="3:83" x14ac:dyDescent="0.2">
      <c r="AB47" s="25"/>
      <c r="AC47" s="21"/>
      <c r="AD47" s="42"/>
      <c r="AE47" s="43" t="s">
        <v>15</v>
      </c>
      <c r="AF47" s="42"/>
      <c r="AG47" s="21"/>
      <c r="AH47" s="26"/>
      <c r="BP47" s="4"/>
      <c r="BQ47" s="5"/>
      <c r="BR47" s="5"/>
      <c r="BS47" s="6"/>
      <c r="BT47" s="4"/>
      <c r="BU47" s="5"/>
      <c r="BV47" s="5"/>
      <c r="BW47" s="6"/>
      <c r="BX47" s="4"/>
      <c r="BY47" s="5"/>
      <c r="BZ47" s="5"/>
      <c r="CA47" s="6"/>
      <c r="CB47" s="4"/>
      <c r="CC47" s="5"/>
      <c r="CD47" s="5"/>
      <c r="CE47" s="6"/>
    </row>
    <row r="48" spans="3:83" x14ac:dyDescent="0.2">
      <c r="AB48" s="25"/>
      <c r="AC48" s="44" t="s">
        <v>21</v>
      </c>
      <c r="AD48" s="43" t="s">
        <v>17</v>
      </c>
      <c r="AE48" s="43" t="s">
        <v>18</v>
      </c>
      <c r="AF48" s="43" t="s">
        <v>16</v>
      </c>
      <c r="AG48" s="45" t="s">
        <v>22</v>
      </c>
      <c r="AH48" s="26"/>
      <c r="BP48" s="7"/>
      <c r="BQ48" s="8"/>
      <c r="BR48" s="8"/>
      <c r="BS48" s="9"/>
      <c r="BT48" s="7"/>
      <c r="BU48" s="8"/>
      <c r="BV48" s="8"/>
      <c r="BW48" s="9"/>
      <c r="BX48" s="7"/>
      <c r="BY48" s="8"/>
      <c r="BZ48" s="8"/>
      <c r="CA48" s="9"/>
      <c r="CB48" s="7"/>
      <c r="CC48" s="8"/>
      <c r="CD48" s="8"/>
      <c r="CE48" s="9"/>
    </row>
    <row r="49" spans="27:36" x14ac:dyDescent="0.2">
      <c r="AB49" s="25"/>
      <c r="AC49" s="21"/>
      <c r="AD49" s="21"/>
      <c r="AE49" s="10" t="s">
        <v>20</v>
      </c>
      <c r="AF49" s="21"/>
      <c r="AG49" s="21"/>
      <c r="AH49" s="26"/>
    </row>
    <row r="50" spans="27:36" x14ac:dyDescent="0.2">
      <c r="AB50" s="27"/>
      <c r="AC50" s="28"/>
      <c r="AD50" s="28"/>
      <c r="AE50" s="28"/>
      <c r="AF50" s="28"/>
      <c r="AG50" s="28"/>
      <c r="AH50" s="29"/>
    </row>
    <row r="52" spans="27:36" x14ac:dyDescent="0.2">
      <c r="AA52" s="48" t="s">
        <v>23</v>
      </c>
      <c r="AB52" s="48"/>
      <c r="AC52" s="48"/>
      <c r="AD52" s="48"/>
      <c r="AE52" s="48"/>
      <c r="AF52" s="48"/>
      <c r="AG52" s="48"/>
      <c r="AH52" s="48"/>
      <c r="AI52" s="48"/>
      <c r="AJ52" s="48"/>
    </row>
  </sheetData>
  <mergeCells count="5">
    <mergeCell ref="AC43:AH43"/>
    <mergeCell ref="AL25:AN25"/>
    <mergeCell ref="AA52:AJ52"/>
    <mergeCell ref="AB19:AC19"/>
    <mergeCell ref="AH19:AI19"/>
  </mergeCells>
  <phoneticPr fontId="1" type="noConversion"/>
  <conditionalFormatting sqref="A21:Z48 AQ21:XFD48">
    <cfRule type="cellIs" dxfId="3" priority="4" operator="equal">
      <formula>1</formula>
    </cfRule>
    <cfRule type="cellIs" dxfId="2" priority="5" operator="greaterThan">
      <formula>1</formula>
    </cfRule>
  </conditionalFormatting>
  <conditionalFormatting sqref="AA21:AJ40 AL21:AO24">
    <cfRule type="cellIs" dxfId="1" priority="2" operator="equal">
      <formula>1</formula>
    </cfRule>
  </conditionalFormatting>
  <conditionalFormatting sqref="AA21:AJ40">
    <cfRule type="cellIs" dxfId="0" priority="1" operator="greaterThan">
      <formula>1</formula>
    </cfRule>
  </conditionalFormatting>
  <hyperlinks>
    <hyperlink ref="AB19:AC19" location="alpha!AB19" display="alpha!AB19" xr:uid="{117383C5-6AA3-4101-8D13-6E9CDC251520}"/>
    <hyperlink ref="AH19:AI19" location="alpha!AH19" display="alpha!AH19" xr:uid="{56035CE7-EC0D-4943-BC1E-9D158BB498D2}"/>
  </hyperlink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3</vt:i4>
      </vt:variant>
    </vt:vector>
  </HeadingPairs>
  <TitlesOfParts>
    <vt:vector size="4" baseType="lpstr">
      <vt:lpstr>alpha</vt:lpstr>
      <vt:lpstr>operationpanel</vt:lpstr>
      <vt:lpstr>screen</vt:lpstr>
      <vt:lpstr>staticscreen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Cloud</dc:creator>
  <cp:lastModifiedBy>Cloud</cp:lastModifiedBy>
  <dcterms:created xsi:type="dcterms:W3CDTF">2020-01-30T11:39:30Z</dcterms:created>
  <dcterms:modified xsi:type="dcterms:W3CDTF">2020-02-06T14:58:54Z</dcterms:modified>
</cp:coreProperties>
</file>